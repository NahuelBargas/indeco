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CB87912E-6371-4079-B50D-2DC51D993134}" xr6:coauthVersionLast="47" xr6:coauthVersionMax="47" xr10:uidLastSave="{00000000-0000-0000-0000-000000000000}"/>
  <bookViews>
    <workbookView xWindow="-120" yWindow="-120" windowWidth="19440" windowHeight="11040" tabRatio="500" firstSheet="7" activeTab="11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<sst xmlns="http://schemas.openxmlformats.org/spreadsheetml/2006/main" count="347" uniqueCount="225">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</sst>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zoomScaleNormal="100" workbookViewId="0">
      <pane ySplit="1" topLeftCell="A109" activePane="bottomLeft" state="frozen"/>
      <selection pane="bottomLeft" activeCell="B116" sqref="B116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3.5</v>
      </c>
      <c r="D114">
        <v>1.9</v>
      </c>
      <c r="E114">
        <v>2.4</v>
      </c>
    </row>
    <row r="115" spans="1:5" x14ac:dyDescent="0.25">
      <c r="A115" s="19">
        <v>46174</v>
      </c>
      <c r="B115" s="1">
        <v>1.9</v>
      </c>
      <c r="C115">
        <v>3.4</v>
      </c>
      <c r="D115">
        <v>1.6</v>
      </c>
      <c r="E115">
        <v>2.2999999999999998</v>
      </c>
    </row>
    <row r="116" spans="1:5" x14ac:dyDescent="0.25">
      <c r="A116" s="19">
        <v>46204</v>
      </c>
      <c r="B116" s="1">
        <v>2.1</v>
      </c>
      <c r="C116" s="1">
        <v>4.5</v>
      </c>
      <c r="D116">
        <v>1.8</v>
      </c>
      <c r="E116">
        <v>2.1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2.1</v>
      </c>
      <c r="C2" s="24">
        <v>2.2999999999999998</v>
      </c>
      <c r="D2" s="24">
        <v>2</v>
      </c>
      <c r="E2" s="24">
        <v>2</v>
      </c>
      <c r="F2" s="24">
        <v>2</v>
      </c>
      <c r="G2" s="24">
        <v>1.9</v>
      </c>
      <c r="H2" s="24">
        <v>2</v>
      </c>
    </row>
    <row r="3" spans="1:8" x14ac:dyDescent="0.25">
      <c r="A3" s="9" t="s">
        <v>13</v>
      </c>
      <c r="B3" s="22">
        <v>2</v>
      </c>
      <c r="C3" s="22">
        <v>2.4</v>
      </c>
      <c r="D3" s="22">
        <v>1.7</v>
      </c>
      <c r="E3" s="22">
        <v>1.5</v>
      </c>
      <c r="F3" s="22">
        <v>1.8</v>
      </c>
      <c r="G3" s="22">
        <v>1.1000000000000001</v>
      </c>
      <c r="H3" s="22">
        <v>1.7</v>
      </c>
    </row>
    <row r="4" spans="1:8" x14ac:dyDescent="0.25">
      <c r="A4" s="9" t="s">
        <v>14</v>
      </c>
      <c r="B4" s="22">
        <v>1.5</v>
      </c>
      <c r="C4" s="22">
        <v>1.5</v>
      </c>
      <c r="D4" s="22">
        <v>1.5</v>
      </c>
      <c r="E4" s="22">
        <v>1.3</v>
      </c>
      <c r="F4" s="22">
        <v>1.3</v>
      </c>
      <c r="G4" s="22">
        <v>1.7</v>
      </c>
      <c r="H4" s="22">
        <v>1.5</v>
      </c>
    </row>
    <row r="5" spans="1:8" x14ac:dyDescent="0.25">
      <c r="A5" s="9" t="s">
        <v>15</v>
      </c>
      <c r="B5" s="22">
        <v>-1.3</v>
      </c>
      <c r="C5" s="22">
        <v>-3</v>
      </c>
      <c r="D5" s="22">
        <v>0.1</v>
      </c>
      <c r="E5" s="22">
        <v>0</v>
      </c>
      <c r="F5" s="22">
        <v>0.4</v>
      </c>
      <c r="G5" s="22">
        <v>-0.7</v>
      </c>
      <c r="H5" s="22">
        <v>0.8</v>
      </c>
    </row>
    <row r="6" spans="1:8" x14ac:dyDescent="0.25">
      <c r="A6" s="9" t="s">
        <v>16</v>
      </c>
      <c r="B6" s="22">
        <v>2.2000000000000002</v>
      </c>
      <c r="C6" s="22">
        <v>1.5</v>
      </c>
      <c r="D6" s="22">
        <v>2.6</v>
      </c>
      <c r="E6" s="22">
        <v>3.9</v>
      </c>
      <c r="F6" s="22">
        <v>3.3</v>
      </c>
      <c r="G6" s="22">
        <v>2.2000000000000002</v>
      </c>
      <c r="H6" s="22">
        <v>2.5</v>
      </c>
    </row>
    <row r="7" spans="1:8" x14ac:dyDescent="0.25">
      <c r="A7" s="9" t="s">
        <v>17</v>
      </c>
      <c r="B7" s="22">
        <v>2.1</v>
      </c>
      <c r="C7" s="22">
        <v>2.1</v>
      </c>
      <c r="D7" s="22">
        <v>2.2999999999999998</v>
      </c>
      <c r="E7" s="22">
        <v>1.4</v>
      </c>
      <c r="F7" s="22">
        <v>2.2999999999999998</v>
      </c>
      <c r="G7" s="22">
        <v>2.1</v>
      </c>
      <c r="H7" s="22">
        <v>1.4</v>
      </c>
    </row>
    <row r="8" spans="1:8" x14ac:dyDescent="0.25">
      <c r="A8" s="9" t="s">
        <v>18</v>
      </c>
      <c r="B8" s="22">
        <v>2.5</v>
      </c>
      <c r="C8" s="22">
        <v>2.4</v>
      </c>
      <c r="D8" s="22">
        <v>2.9</v>
      </c>
      <c r="E8" s="22">
        <v>2.7</v>
      </c>
      <c r="F8" s="22">
        <v>2.2000000000000002</v>
      </c>
      <c r="G8" s="22">
        <v>2.2000000000000002</v>
      </c>
      <c r="H8" s="22">
        <v>2.5</v>
      </c>
    </row>
    <row r="9" spans="1:8" x14ac:dyDescent="0.25">
      <c r="A9" s="9" t="s">
        <v>19</v>
      </c>
      <c r="B9" s="22">
        <v>1.9</v>
      </c>
      <c r="C9" s="22">
        <v>2.4</v>
      </c>
      <c r="D9" s="22">
        <v>1.1000000000000001</v>
      </c>
      <c r="E9" s="22">
        <v>1.3</v>
      </c>
      <c r="F9" s="22">
        <v>1.7</v>
      </c>
      <c r="G9" s="22">
        <v>3.2</v>
      </c>
      <c r="H9" s="22">
        <v>1.7</v>
      </c>
    </row>
    <row r="10" spans="1:8" x14ac:dyDescent="0.25">
      <c r="A10" s="9" t="s">
        <v>20</v>
      </c>
      <c r="B10" s="22">
        <v>2.4</v>
      </c>
      <c r="C10" s="22">
        <v>2.6</v>
      </c>
      <c r="D10" s="22">
        <v>2.2000000000000002</v>
      </c>
      <c r="E10" s="22">
        <v>2.2999999999999998</v>
      </c>
      <c r="F10" s="22">
        <v>2</v>
      </c>
      <c r="G10" s="22">
        <v>2.4</v>
      </c>
      <c r="H10" s="22">
        <v>2.2999999999999998</v>
      </c>
    </row>
    <row r="11" spans="1:8" x14ac:dyDescent="0.25">
      <c r="A11" s="9" t="s">
        <v>21</v>
      </c>
      <c r="B11" s="22">
        <v>5</v>
      </c>
      <c r="C11" s="22">
        <v>5.8</v>
      </c>
      <c r="D11" s="22">
        <v>4.3</v>
      </c>
      <c r="E11" s="22">
        <v>4</v>
      </c>
      <c r="F11" s="22">
        <v>5.3</v>
      </c>
      <c r="G11" s="22">
        <v>5.0999999999999996</v>
      </c>
      <c r="H11" s="22">
        <v>2.8</v>
      </c>
    </row>
    <row r="12" spans="1:8" x14ac:dyDescent="0.25">
      <c r="A12" s="9" t="s">
        <v>22</v>
      </c>
      <c r="B12" s="22">
        <v>1.9</v>
      </c>
      <c r="C12" s="22">
        <v>2.2999999999999998</v>
      </c>
      <c r="D12" s="22">
        <v>1</v>
      </c>
      <c r="E12" s="22">
        <v>7.5</v>
      </c>
      <c r="F12" s="22">
        <v>1.2</v>
      </c>
      <c r="G12" s="22">
        <v>0.5</v>
      </c>
      <c r="H12" s="22">
        <v>2.2000000000000002</v>
      </c>
    </row>
    <row r="13" spans="1:8" x14ac:dyDescent="0.25">
      <c r="A13" s="9" t="s">
        <v>23</v>
      </c>
      <c r="B13" s="22">
        <v>2.8</v>
      </c>
      <c r="C13" s="22">
        <v>3.3</v>
      </c>
      <c r="D13" s="22">
        <v>2.4</v>
      </c>
      <c r="E13" s="22">
        <v>2</v>
      </c>
      <c r="F13" s="22">
        <v>1.5</v>
      </c>
      <c r="G13" s="22">
        <v>2</v>
      </c>
      <c r="H13" s="22">
        <v>4.8</v>
      </c>
    </row>
    <row r="14" spans="1:8" x14ac:dyDescent="0.25">
      <c r="A14" s="9" t="s">
        <v>24</v>
      </c>
      <c r="B14" s="22">
        <v>2.2000000000000002</v>
      </c>
      <c r="C14" s="22">
        <v>2.2000000000000002</v>
      </c>
      <c r="D14" s="22">
        <v>2.6</v>
      </c>
      <c r="E14" s="22">
        <v>1.9</v>
      </c>
      <c r="F14" s="22">
        <v>1.7</v>
      </c>
      <c r="G14" s="22">
        <v>1.8</v>
      </c>
      <c r="H14" s="22">
        <v>1.5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/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33.799999999999997</v>
      </c>
      <c r="C2" s="33">
        <v>34</v>
      </c>
      <c r="D2" s="33">
        <v>33.4</v>
      </c>
      <c r="E2" s="33">
        <v>36.9</v>
      </c>
      <c r="F2" s="33">
        <v>34.200000000000003</v>
      </c>
      <c r="G2" s="33">
        <v>34</v>
      </c>
      <c r="H2" s="33">
        <v>31.8</v>
      </c>
    </row>
    <row r="3" spans="1:8" x14ac:dyDescent="0.25">
      <c r="A3" s="9" t="s">
        <v>13</v>
      </c>
      <c r="B3" s="34">
        <v>34.5</v>
      </c>
      <c r="C3" s="34">
        <v>34.4</v>
      </c>
      <c r="D3" s="34">
        <v>34.4</v>
      </c>
      <c r="E3" s="34">
        <v>40.700000000000003</v>
      </c>
      <c r="F3" s="34">
        <v>35.799999999999997</v>
      </c>
      <c r="G3" s="34">
        <v>34.299999999999997</v>
      </c>
      <c r="H3" s="34">
        <v>28.7</v>
      </c>
    </row>
    <row r="4" spans="1:8" x14ac:dyDescent="0.25">
      <c r="A4" s="9" t="s">
        <v>14</v>
      </c>
      <c r="B4" s="34">
        <v>24.2</v>
      </c>
      <c r="C4" s="34">
        <v>24.6</v>
      </c>
      <c r="D4" s="34">
        <v>23.6</v>
      </c>
      <c r="E4" s="34">
        <v>22.9</v>
      </c>
      <c r="F4" s="34">
        <v>23.8</v>
      </c>
      <c r="G4" s="34">
        <v>24.7</v>
      </c>
      <c r="H4" s="34">
        <v>26.8</v>
      </c>
    </row>
    <row r="5" spans="1:8" x14ac:dyDescent="0.25">
      <c r="A5" s="9" t="s">
        <v>15</v>
      </c>
      <c r="B5" s="34">
        <v>11.5</v>
      </c>
      <c r="C5" s="34">
        <v>11.4</v>
      </c>
      <c r="D5" s="34">
        <v>10.7</v>
      </c>
      <c r="E5" s="34">
        <v>13.7</v>
      </c>
      <c r="F5" s="34">
        <v>11.8</v>
      </c>
      <c r="G5" s="34">
        <v>13.1</v>
      </c>
      <c r="H5" s="34">
        <v>13.7</v>
      </c>
    </row>
    <row r="6" spans="1:8" x14ac:dyDescent="0.25">
      <c r="A6" s="9" t="s">
        <v>16</v>
      </c>
      <c r="B6" s="34">
        <v>48.9</v>
      </c>
      <c r="C6" s="34">
        <v>44.9</v>
      </c>
      <c r="D6" s="34">
        <v>48.5</v>
      </c>
      <c r="E6" s="34">
        <v>72.8</v>
      </c>
      <c r="F6" s="34">
        <v>51.7</v>
      </c>
      <c r="G6" s="34">
        <v>52.3</v>
      </c>
      <c r="H6" s="34">
        <v>53.1</v>
      </c>
    </row>
    <row r="7" spans="1:8" x14ac:dyDescent="0.25">
      <c r="A7" s="9" t="s">
        <v>17</v>
      </c>
      <c r="B7" s="34">
        <v>23.7</v>
      </c>
      <c r="C7" s="34">
        <v>25</v>
      </c>
      <c r="D7" s="34">
        <v>23.6</v>
      </c>
      <c r="E7" s="34">
        <v>17.5</v>
      </c>
      <c r="F7" s="34">
        <v>22.9</v>
      </c>
      <c r="G7" s="34">
        <v>24.1</v>
      </c>
      <c r="H7" s="34">
        <v>20.399999999999999</v>
      </c>
    </row>
    <row r="8" spans="1:8" x14ac:dyDescent="0.25">
      <c r="A8" s="9" t="s">
        <v>18</v>
      </c>
      <c r="B8" s="34">
        <v>32.299999999999997</v>
      </c>
      <c r="C8" s="34">
        <v>32.5</v>
      </c>
      <c r="D8" s="34">
        <v>32.700000000000003</v>
      </c>
      <c r="E8" s="34">
        <v>30.5</v>
      </c>
      <c r="F8" s="34">
        <v>31.2</v>
      </c>
      <c r="G8" s="34">
        <v>29.9</v>
      </c>
      <c r="H8" s="34">
        <v>33.5</v>
      </c>
    </row>
    <row r="9" spans="1:8" x14ac:dyDescent="0.25">
      <c r="A9" s="9" t="s">
        <v>19</v>
      </c>
      <c r="B9" s="34">
        <v>40.9</v>
      </c>
      <c r="C9" s="34">
        <v>41.5</v>
      </c>
      <c r="D9" s="34">
        <v>39.6</v>
      </c>
      <c r="E9" s="34">
        <v>34.700000000000003</v>
      </c>
      <c r="F9" s="34">
        <v>44.9</v>
      </c>
      <c r="G9" s="34">
        <v>44.7</v>
      </c>
      <c r="H9" s="34">
        <v>41.1</v>
      </c>
    </row>
    <row r="10" spans="1:8" x14ac:dyDescent="0.25">
      <c r="A10" s="9" t="s">
        <v>20</v>
      </c>
      <c r="B10" s="34">
        <v>36.299999999999997</v>
      </c>
      <c r="C10" s="34">
        <v>37.6</v>
      </c>
      <c r="D10" s="34">
        <v>35.5</v>
      </c>
      <c r="E10" s="34">
        <v>33.700000000000003</v>
      </c>
      <c r="F10" s="34">
        <v>34.6</v>
      </c>
      <c r="G10" s="34">
        <v>35.200000000000003</v>
      </c>
      <c r="H10" s="34">
        <v>34.5</v>
      </c>
    </row>
    <row r="11" spans="1:8" x14ac:dyDescent="0.25">
      <c r="A11" s="9" t="s">
        <v>21</v>
      </c>
      <c r="B11" s="34">
        <v>32.200000000000003</v>
      </c>
      <c r="C11" s="34">
        <v>32.5</v>
      </c>
      <c r="D11" s="34">
        <v>33.700000000000003</v>
      </c>
      <c r="E11" s="34">
        <v>29.4</v>
      </c>
      <c r="F11" s="34">
        <v>31.7</v>
      </c>
      <c r="G11" s="34">
        <v>28.9</v>
      </c>
      <c r="H11" s="34">
        <v>24.8</v>
      </c>
    </row>
    <row r="12" spans="1:8" x14ac:dyDescent="0.25">
      <c r="A12" s="9" t="s">
        <v>22</v>
      </c>
      <c r="B12" s="34">
        <v>40</v>
      </c>
      <c r="C12" s="34">
        <v>40.200000000000003</v>
      </c>
      <c r="D12" s="34">
        <v>35.200000000000003</v>
      </c>
      <c r="E12" s="34">
        <v>45.8</v>
      </c>
      <c r="F12" s="34">
        <v>51.1</v>
      </c>
      <c r="G12" s="34">
        <v>40.1</v>
      </c>
      <c r="H12" s="34">
        <v>44.5</v>
      </c>
    </row>
    <row r="13" spans="1:8" x14ac:dyDescent="0.25">
      <c r="A13" s="9" t="s">
        <v>23</v>
      </c>
      <c r="B13" s="34">
        <v>36.700000000000003</v>
      </c>
      <c r="C13" s="34">
        <v>35.700000000000003</v>
      </c>
      <c r="D13" s="34">
        <v>39.700000000000003</v>
      </c>
      <c r="E13" s="34">
        <v>38.4</v>
      </c>
      <c r="F13" s="34">
        <v>35.200000000000003</v>
      </c>
      <c r="G13" s="34">
        <v>32.299999999999997</v>
      </c>
      <c r="H13" s="34">
        <v>30.4</v>
      </c>
    </row>
    <row r="14" spans="1:8" x14ac:dyDescent="0.25">
      <c r="A14" s="9" t="s">
        <v>24</v>
      </c>
      <c r="B14" s="34">
        <v>32.5</v>
      </c>
      <c r="C14" s="34">
        <v>34.799999999999997</v>
      </c>
      <c r="D14" s="34">
        <v>31.2</v>
      </c>
      <c r="E14" s="34">
        <v>28.1</v>
      </c>
      <c r="F14" s="34">
        <v>28.9</v>
      </c>
      <c r="G14" s="34">
        <v>33.4</v>
      </c>
      <c r="H14" s="34">
        <v>29.5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topLeftCell="A75" zoomScaleNormal="100" workbookViewId="0">
      <selection activeCell="C2" sqref="C2:C90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475539.40286010271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470354.11948447995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493797.37820779701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500769.87964556657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515285.82226785243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526591.9714851937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530024.96916142374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540321.007099187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554468.16211025103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561434.67786953063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576815.72098068486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589479.05592245981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603416.48185863218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616299.39312501706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624352.58868411044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643701.5469166023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650062.83279971546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653269.76138485561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657936.93255261565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627435.11222766025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604739.79905993817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590902.23142847931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614035.54343456146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625813.93172851868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644901.88693182275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673704.24691340048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677196.1138942315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686292.47002773837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702715.18731246202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709752.09900164558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715352.50699214835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715306.59557615174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707988.22133292514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683985.42306130065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705109.9934384583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716860.32000311208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716958.91356570437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721290.34819069924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725228.86057766667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718150.29887718929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707604.64972170733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703288.51850467571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697226.21978834714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701104.79583873064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711401.44068145636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727767.46053102415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727494.47701461555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719285.20832506299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712710.63575714745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701267.87546475301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703825.31306672294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708107.57010202378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714000.68213478185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722206.78209549456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731022.65780373593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738329.66901728406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735269.26388700691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702794.19038738846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700585.06179718161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690861.25584647327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690992.53890621837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697721.48697133223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697245.70141462015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686935.48705966782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657234.36724165711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562000.89823407296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623856.36323480471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655273.51589104964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677518.09192361217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678667.84323796758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693508.41694142157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709545.38403278519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726994.4331088519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741461.96753675886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735869.56325702253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721040.57100169931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729079.81570524594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709842.35270039842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725214.64378983236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707086.08875387569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694486.09954866616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691468.75067544018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716166.17456055968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729830.51344938693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735468.22118616325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737703.22646665608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738582.97927448282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747160.42718325544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752727.87372926541</v>
      </c>
      <c r="D90" s="10">
        <v>725600.2445682534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8481.3895971000002</v>
      </c>
      <c r="C2" s="46">
        <v>10358.58955208</v>
      </c>
      <c r="D2" s="27">
        <f>B2-C2</f>
        <v>-1877.1999549800003</v>
      </c>
    </row>
    <row r="3" spans="1:4" x14ac:dyDescent="0.25">
      <c r="A3" s="32" t="s">
        <v>203</v>
      </c>
      <c r="B3" s="42">
        <v>6254.0776712200004</v>
      </c>
      <c r="C3" s="42">
        <v>7650.0725485599996</v>
      </c>
      <c r="D3" s="27">
        <f t="shared" ref="D3:D27" si="0">B3-C3</f>
        <v>-1395.9948773399992</v>
      </c>
    </row>
    <row r="4" spans="1:4" x14ac:dyDescent="0.25">
      <c r="A4" s="32" t="s">
        <v>208</v>
      </c>
      <c r="B4" s="42">
        <v>882.91976972999998</v>
      </c>
      <c r="C4" s="42">
        <v>2415.4081030100001</v>
      </c>
      <c r="D4" s="27">
        <f t="shared" si="0"/>
        <v>-1532.48833328</v>
      </c>
    </row>
    <row r="5" spans="1:4" x14ac:dyDescent="0.25">
      <c r="A5" s="32" t="s">
        <v>209</v>
      </c>
      <c r="B5" s="42">
        <v>1069.9884319400001</v>
      </c>
      <c r="C5" s="42">
        <v>288.20453477000001</v>
      </c>
      <c r="D5" s="27">
        <f t="shared" si="0"/>
        <v>781.78389717000005</v>
      </c>
    </row>
    <row r="6" spans="1:4" x14ac:dyDescent="0.25">
      <c r="A6" s="31" t="s">
        <v>72</v>
      </c>
      <c r="B6" s="46">
        <v>6114.1209186899996</v>
      </c>
      <c r="C6" s="46">
        <v>1146.8822496400001</v>
      </c>
      <c r="D6" s="27">
        <f t="shared" si="0"/>
        <v>4967.2386690499998</v>
      </c>
    </row>
    <row r="7" spans="1:4" x14ac:dyDescent="0.25">
      <c r="A7" s="32" t="s">
        <v>71</v>
      </c>
      <c r="B7" s="42">
        <v>3279.5440918499999</v>
      </c>
      <c r="C7" s="42">
        <v>471.02433543000001</v>
      </c>
      <c r="D7" s="27">
        <f t="shared" si="0"/>
        <v>2808.5197564199998</v>
      </c>
    </row>
    <row r="8" spans="1:4" x14ac:dyDescent="0.25">
      <c r="A8" s="32" t="s">
        <v>204</v>
      </c>
      <c r="B8" s="42">
        <v>1348.9057046400001</v>
      </c>
      <c r="C8" s="42">
        <v>157.82740096000001</v>
      </c>
      <c r="D8" s="27">
        <f t="shared" si="0"/>
        <v>1191.0783036800001</v>
      </c>
    </row>
    <row r="9" spans="1:4" x14ac:dyDescent="0.25">
      <c r="A9" s="31" t="s">
        <v>175</v>
      </c>
      <c r="B9" s="46">
        <v>5902.9134168700002</v>
      </c>
      <c r="C9" s="46">
        <v>4361.1140620799997</v>
      </c>
      <c r="D9" s="27">
        <f t="shared" si="0"/>
        <v>1541.7993547900005</v>
      </c>
    </row>
    <row r="10" spans="1:4" x14ac:dyDescent="0.25">
      <c r="A10" s="32" t="s">
        <v>205</v>
      </c>
      <c r="B10" s="42">
        <v>4858.6477084999997</v>
      </c>
      <c r="C10" s="42">
        <v>3284.0718609199998</v>
      </c>
      <c r="D10" s="27">
        <f t="shared" si="0"/>
        <v>1574.5758475799998</v>
      </c>
    </row>
    <row r="11" spans="1:4" x14ac:dyDescent="0.25">
      <c r="A11" s="31" t="s">
        <v>176</v>
      </c>
      <c r="B11" s="46">
        <v>4358.8776973599997</v>
      </c>
      <c r="C11" s="46">
        <v>5017.5170362500003</v>
      </c>
      <c r="D11" s="27">
        <f t="shared" si="0"/>
        <v>-658.63933889000054</v>
      </c>
    </row>
    <row r="12" spans="1:4" x14ac:dyDescent="0.25">
      <c r="A12" s="32" t="s">
        <v>212</v>
      </c>
      <c r="B12" s="42">
        <v>570.62108985999998</v>
      </c>
      <c r="C12" s="42">
        <v>1524.06350172</v>
      </c>
      <c r="D12" s="27">
        <f t="shared" si="0"/>
        <v>-953.44241185999999</v>
      </c>
    </row>
    <row r="13" spans="1:4" x14ac:dyDescent="0.25">
      <c r="A13" s="32" t="s">
        <v>213</v>
      </c>
      <c r="B13" s="42">
        <v>715.86494592999998</v>
      </c>
      <c r="C13" s="42">
        <v>528.95311143000004</v>
      </c>
      <c r="D13" s="27">
        <f t="shared" si="0"/>
        <v>186.91183449999994</v>
      </c>
    </row>
    <row r="14" spans="1:4" x14ac:dyDescent="0.25">
      <c r="A14" s="32" t="s">
        <v>214</v>
      </c>
      <c r="B14" s="42">
        <v>516.88207270999999</v>
      </c>
      <c r="C14" s="42">
        <v>766.57510847000003</v>
      </c>
      <c r="D14" s="27">
        <f t="shared" si="0"/>
        <v>-249.69303576000004</v>
      </c>
    </row>
    <row r="15" spans="1:4" x14ac:dyDescent="0.25">
      <c r="A15" s="32" t="s">
        <v>215</v>
      </c>
      <c r="B15" s="42">
        <v>926.29658819999997</v>
      </c>
      <c r="C15" s="42">
        <v>171.95748750999999</v>
      </c>
      <c r="D15" s="27">
        <f t="shared" si="0"/>
        <v>754.33910069000001</v>
      </c>
    </row>
    <row r="16" spans="1:4" x14ac:dyDescent="0.25">
      <c r="A16" s="31" t="s">
        <v>74</v>
      </c>
      <c r="B16" s="46">
        <v>4890.6300276399998</v>
      </c>
      <c r="C16" s="46">
        <v>7983.1137907000002</v>
      </c>
      <c r="D16" s="27">
        <f t="shared" si="0"/>
        <v>-3092.4837630600005</v>
      </c>
    </row>
    <row r="17" spans="1:4" x14ac:dyDescent="0.25">
      <c r="A17" s="31" t="s">
        <v>75</v>
      </c>
      <c r="B17" s="46">
        <v>3101.0147205600001</v>
      </c>
      <c r="C17" s="46">
        <v>562.39323972</v>
      </c>
      <c r="D17" s="27">
        <f t="shared" si="0"/>
        <v>2538.62148084</v>
      </c>
    </row>
    <row r="18" spans="1:4" x14ac:dyDescent="0.25">
      <c r="A18" s="31" t="s">
        <v>73</v>
      </c>
      <c r="B18" s="46">
        <v>4613.0539279000004</v>
      </c>
      <c r="C18" s="46">
        <v>1981.40743335</v>
      </c>
      <c r="D18" s="27">
        <f t="shared" si="0"/>
        <v>2631.6464945500002</v>
      </c>
    </row>
    <row r="19" spans="1:4" x14ac:dyDescent="0.25">
      <c r="A19" s="32" t="s">
        <v>207</v>
      </c>
      <c r="B19" s="42">
        <v>776.67251765000003</v>
      </c>
      <c r="C19" s="42">
        <v>208.47525941000001</v>
      </c>
      <c r="D19" s="27">
        <f t="shared" si="0"/>
        <v>568.19725824</v>
      </c>
    </row>
    <row r="20" spans="1:4" x14ac:dyDescent="0.25">
      <c r="A20" s="32" t="s">
        <v>210</v>
      </c>
      <c r="B20" s="42">
        <v>798.89368889000002</v>
      </c>
      <c r="C20" s="42">
        <v>118.69154020000001</v>
      </c>
      <c r="D20" s="27">
        <f t="shared" si="0"/>
        <v>680.20214869000006</v>
      </c>
    </row>
    <row r="21" spans="1:4" x14ac:dyDescent="0.25">
      <c r="A21" s="32" t="s">
        <v>211</v>
      </c>
      <c r="B21" s="42">
        <v>891.48188430000005</v>
      </c>
      <c r="C21" s="42">
        <v>1032.2568432</v>
      </c>
      <c r="D21" s="27">
        <f t="shared" si="0"/>
        <v>-140.7749589</v>
      </c>
    </row>
    <row r="22" spans="1:4" x14ac:dyDescent="0.25">
      <c r="A22" s="32" t="s">
        <v>206</v>
      </c>
      <c r="B22" s="42">
        <v>1801.0153340700001</v>
      </c>
      <c r="C22" s="42">
        <v>469.33647961000003</v>
      </c>
      <c r="D22" s="27">
        <f t="shared" si="0"/>
        <v>1331.6788544600001</v>
      </c>
    </row>
    <row r="23" spans="1:4" x14ac:dyDescent="0.25">
      <c r="A23" s="31" t="s">
        <v>76</v>
      </c>
      <c r="B23" s="46">
        <v>2481.4743572000002</v>
      </c>
      <c r="C23" s="46">
        <v>217.91258299</v>
      </c>
      <c r="D23" s="27">
        <f t="shared" si="0"/>
        <v>2263.5617742100003</v>
      </c>
    </row>
    <row r="24" spans="1:4" x14ac:dyDescent="0.25">
      <c r="A24" s="31" t="s">
        <v>77</v>
      </c>
      <c r="B24" s="46">
        <v>2336.6136192099998</v>
      </c>
      <c r="C24" s="46">
        <v>282.26240106</v>
      </c>
      <c r="D24" s="27">
        <f t="shared" si="0"/>
        <v>2054.35121815</v>
      </c>
    </row>
    <row r="25" spans="1:4" x14ac:dyDescent="0.25">
      <c r="A25" s="24" t="s">
        <v>78</v>
      </c>
      <c r="B25" s="46">
        <v>172.32922266</v>
      </c>
      <c r="C25" s="46">
        <v>116.87643165999999</v>
      </c>
      <c r="D25" s="27">
        <f t="shared" si="0"/>
        <v>55.452791000000005</v>
      </c>
    </row>
    <row r="26" spans="1:4" x14ac:dyDescent="0.25">
      <c r="A26" s="24" t="s">
        <v>79</v>
      </c>
      <c r="B26" s="46">
        <v>559.93835520000005</v>
      </c>
      <c r="C26" s="46">
        <v>178.09884439999999</v>
      </c>
      <c r="D26" s="27">
        <f t="shared" si="0"/>
        <v>381.83951080000008</v>
      </c>
    </row>
    <row r="27" spans="1:4" x14ac:dyDescent="0.25">
      <c r="A27" s="26" t="s">
        <v>80</v>
      </c>
      <c r="B27" s="47">
        <v>6442.1068232699999</v>
      </c>
      <c r="C27" s="47">
        <v>3325.2753946500002</v>
      </c>
      <c r="D27" s="27">
        <f t="shared" si="0"/>
        <v>3116.8314286199998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/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8">
        <v>49454.46268366</v>
      </c>
      <c r="D2" s="29"/>
    </row>
    <row r="3" spans="1:4" x14ac:dyDescent="0.25">
      <c r="A3" s="24" t="s">
        <v>168</v>
      </c>
      <c r="B3" s="48">
        <v>12631.428010670001</v>
      </c>
      <c r="D3" s="29"/>
    </row>
    <row r="4" spans="1:4" x14ac:dyDescent="0.25">
      <c r="A4" s="22" t="s">
        <v>121</v>
      </c>
      <c r="B4" s="49">
        <v>16.464585719999999</v>
      </c>
      <c r="D4" s="30"/>
    </row>
    <row r="5" spans="1:4" x14ac:dyDescent="0.25">
      <c r="A5" s="22" t="s">
        <v>122</v>
      </c>
      <c r="B5" s="49">
        <v>1072.95508227</v>
      </c>
      <c r="D5" s="30"/>
    </row>
    <row r="6" spans="1:4" x14ac:dyDescent="0.25">
      <c r="A6" s="22" t="s">
        <v>123</v>
      </c>
      <c r="B6" s="49">
        <v>177.93759610000001</v>
      </c>
      <c r="D6" s="30"/>
    </row>
    <row r="7" spans="1:4" x14ac:dyDescent="0.25">
      <c r="A7" s="22" t="s">
        <v>124</v>
      </c>
      <c r="B7" s="49">
        <v>409.69851609</v>
      </c>
      <c r="D7" s="30"/>
    </row>
    <row r="8" spans="1:4" x14ac:dyDescent="0.25">
      <c r="A8" s="22" t="s">
        <v>125</v>
      </c>
      <c r="B8" s="49">
        <v>423.38260679000001</v>
      </c>
      <c r="D8" s="30"/>
    </row>
    <row r="9" spans="1:4" x14ac:dyDescent="0.25">
      <c r="A9" s="22" t="s">
        <v>126</v>
      </c>
      <c r="B9" s="49">
        <v>7444.7477826599998</v>
      </c>
      <c r="D9" s="30"/>
    </row>
    <row r="10" spans="1:4" x14ac:dyDescent="0.25">
      <c r="A10" s="22" t="s">
        <v>127</v>
      </c>
      <c r="B10" s="49">
        <v>2178.03683374</v>
      </c>
      <c r="D10" s="30"/>
    </row>
    <row r="11" spans="1:4" x14ac:dyDescent="0.25">
      <c r="A11" s="22" t="s">
        <v>128</v>
      </c>
      <c r="B11" s="49">
        <v>113.81617368000001</v>
      </c>
      <c r="D11" s="30"/>
    </row>
    <row r="12" spans="1:4" x14ac:dyDescent="0.25">
      <c r="A12" s="22" t="s">
        <v>129</v>
      </c>
      <c r="B12" s="49">
        <v>53.82557903</v>
      </c>
      <c r="D12" s="30"/>
    </row>
    <row r="13" spans="1:4" x14ac:dyDescent="0.25">
      <c r="A13" s="22" t="s">
        <v>130</v>
      </c>
      <c r="B13" s="49">
        <v>55.442203339999999</v>
      </c>
      <c r="D13" s="30"/>
    </row>
    <row r="14" spans="1:4" x14ac:dyDescent="0.25">
      <c r="A14" s="22" t="s">
        <v>131</v>
      </c>
      <c r="B14" s="49">
        <v>574.83523628</v>
      </c>
      <c r="D14" s="30"/>
    </row>
    <row r="15" spans="1:4" x14ac:dyDescent="0.25">
      <c r="A15" s="22" t="s">
        <v>132</v>
      </c>
      <c r="B15" s="49">
        <v>110.28581497</v>
      </c>
      <c r="D15" s="30"/>
    </row>
    <row r="16" spans="1:4" x14ac:dyDescent="0.25">
      <c r="A16" s="24" t="s">
        <v>169</v>
      </c>
      <c r="B16" s="48">
        <v>15819.496350199999</v>
      </c>
      <c r="D16" s="29"/>
    </row>
    <row r="17" spans="1:4" x14ac:dyDescent="0.25">
      <c r="A17" s="22" t="s">
        <v>133</v>
      </c>
      <c r="B17" s="49">
        <v>2570.6484228200002</v>
      </c>
      <c r="D17" s="30"/>
    </row>
    <row r="18" spans="1:4" x14ac:dyDescent="0.25">
      <c r="A18" s="22" t="s">
        <v>134</v>
      </c>
      <c r="B18" s="49">
        <v>156.63452408000001</v>
      </c>
      <c r="D18" s="30"/>
    </row>
    <row r="19" spans="1:4" x14ac:dyDescent="0.25">
      <c r="A19" s="22" t="s">
        <v>135</v>
      </c>
      <c r="B19" s="49">
        <v>731.49064919</v>
      </c>
      <c r="D19" s="30"/>
    </row>
    <row r="20" spans="1:4" x14ac:dyDescent="0.25">
      <c r="A20" s="22" t="s">
        <v>136</v>
      </c>
      <c r="B20" s="49">
        <v>48.8231167</v>
      </c>
      <c r="D20" s="30"/>
    </row>
    <row r="21" spans="1:4" x14ac:dyDescent="0.25">
      <c r="A21" s="22" t="s">
        <v>137</v>
      </c>
      <c r="B21" s="49">
        <v>58.525990210000003</v>
      </c>
      <c r="D21" s="30"/>
    </row>
    <row r="22" spans="1:4" x14ac:dyDescent="0.25">
      <c r="A22" s="22" t="s">
        <v>138</v>
      </c>
      <c r="B22" s="49">
        <v>91.483421500000006</v>
      </c>
      <c r="D22" s="30"/>
    </row>
    <row r="23" spans="1:4" x14ac:dyDescent="0.25">
      <c r="A23" s="22" t="s">
        <v>139</v>
      </c>
      <c r="B23" s="49">
        <v>403.77321796000001</v>
      </c>
      <c r="D23" s="30"/>
    </row>
    <row r="24" spans="1:4" x14ac:dyDescent="0.25">
      <c r="A24" s="22" t="s">
        <v>140</v>
      </c>
      <c r="B24" s="49">
        <v>5222.8086147699996</v>
      </c>
      <c r="D24" s="30"/>
    </row>
    <row r="25" spans="1:4" x14ac:dyDescent="0.25">
      <c r="A25" s="22" t="s">
        <v>141</v>
      </c>
      <c r="B25" s="49">
        <v>190.33760681999999</v>
      </c>
      <c r="D25" s="30"/>
    </row>
    <row r="26" spans="1:4" x14ac:dyDescent="0.25">
      <c r="A26" s="22" t="s">
        <v>142</v>
      </c>
      <c r="B26" s="49">
        <v>520.09811133000005</v>
      </c>
      <c r="D26" s="30"/>
    </row>
    <row r="27" spans="1:4" x14ac:dyDescent="0.25">
      <c r="A27" s="22" t="s">
        <v>143</v>
      </c>
      <c r="B27" s="49">
        <v>389.43796888999998</v>
      </c>
      <c r="D27" s="30"/>
    </row>
    <row r="28" spans="1:4" x14ac:dyDescent="0.25">
      <c r="A28" s="22" t="s">
        <v>144</v>
      </c>
      <c r="B28" s="49">
        <v>4678.4785626299999</v>
      </c>
      <c r="D28" s="30"/>
    </row>
    <row r="29" spans="1:4" x14ac:dyDescent="0.25">
      <c r="A29" s="22" t="s">
        <v>145</v>
      </c>
      <c r="B29" s="49">
        <v>157.20024982999999</v>
      </c>
      <c r="D29" s="30"/>
    </row>
    <row r="30" spans="1:4" x14ac:dyDescent="0.25">
      <c r="A30" s="22" t="s">
        <v>146</v>
      </c>
      <c r="B30" s="49">
        <v>174.71465499999999</v>
      </c>
      <c r="D30" s="30"/>
    </row>
    <row r="31" spans="1:4" x14ac:dyDescent="0.25">
      <c r="A31" s="22" t="s">
        <v>147</v>
      </c>
      <c r="B31" s="49">
        <v>68.174505429999996</v>
      </c>
      <c r="D31" s="30"/>
    </row>
    <row r="32" spans="1:4" x14ac:dyDescent="0.25">
      <c r="A32" s="22" t="s">
        <v>148</v>
      </c>
      <c r="B32" s="49">
        <v>356.86673303999999</v>
      </c>
      <c r="D32" s="30"/>
    </row>
    <row r="33" spans="1:4" x14ac:dyDescent="0.25">
      <c r="A33" s="24" t="s">
        <v>170</v>
      </c>
      <c r="B33" s="48">
        <v>13384.87206421</v>
      </c>
      <c r="D33" s="29"/>
    </row>
    <row r="34" spans="1:4" x14ac:dyDescent="0.25">
      <c r="A34" s="22" t="s">
        <v>149</v>
      </c>
      <c r="B34" s="49">
        <v>2991.57088901</v>
      </c>
      <c r="D34" s="30"/>
    </row>
    <row r="35" spans="1:4" x14ac:dyDescent="0.25">
      <c r="A35" s="22" t="s">
        <v>150</v>
      </c>
      <c r="B35" s="49">
        <v>607.09800845999996</v>
      </c>
      <c r="D35" s="30"/>
    </row>
    <row r="36" spans="1:4" x14ac:dyDescent="0.25">
      <c r="A36" s="22" t="s">
        <v>151</v>
      </c>
      <c r="B36" s="49">
        <v>85.910532889999999</v>
      </c>
      <c r="D36" s="30"/>
    </row>
    <row r="37" spans="1:4" x14ac:dyDescent="0.25">
      <c r="A37" s="22" t="s">
        <v>152</v>
      </c>
      <c r="B37" s="49">
        <v>8.7954096499999999</v>
      </c>
      <c r="D37" s="30"/>
    </row>
    <row r="38" spans="1:4" x14ac:dyDescent="0.25">
      <c r="A38" s="22" t="s">
        <v>153</v>
      </c>
      <c r="B38" s="49">
        <v>214.91494496999999</v>
      </c>
      <c r="D38" s="30"/>
    </row>
    <row r="39" spans="1:4" x14ac:dyDescent="0.25">
      <c r="A39" s="22" t="s">
        <v>154</v>
      </c>
      <c r="B39" s="49">
        <v>53.943710869999997</v>
      </c>
      <c r="D39" s="30"/>
    </row>
    <row r="40" spans="1:4" x14ac:dyDescent="0.25">
      <c r="A40" s="22" t="s">
        <v>155</v>
      </c>
      <c r="B40" s="49">
        <v>4.4194451199999998</v>
      </c>
      <c r="D40" s="30"/>
    </row>
    <row r="41" spans="1:4" x14ac:dyDescent="0.25">
      <c r="A41" s="22" t="s">
        <v>156</v>
      </c>
      <c r="B41" s="49">
        <v>66.158591869999995</v>
      </c>
      <c r="D41" s="30"/>
    </row>
    <row r="42" spans="1:4" x14ac:dyDescent="0.25">
      <c r="A42" s="22" t="s">
        <v>157</v>
      </c>
      <c r="B42" s="49">
        <v>2937.4714189900001</v>
      </c>
      <c r="D42" s="30"/>
    </row>
    <row r="43" spans="1:4" x14ac:dyDescent="0.25">
      <c r="A43" s="22" t="s">
        <v>158</v>
      </c>
      <c r="B43" s="49">
        <v>1400.86288964</v>
      </c>
      <c r="D43" s="30"/>
    </row>
    <row r="44" spans="1:4" x14ac:dyDescent="0.25">
      <c r="A44" s="22" t="s">
        <v>159</v>
      </c>
      <c r="B44" s="49">
        <v>647.06496117999995</v>
      </c>
      <c r="D44" s="30"/>
    </row>
    <row r="45" spans="1:4" x14ac:dyDescent="0.25">
      <c r="A45" s="22" t="s">
        <v>160</v>
      </c>
      <c r="B45" s="49">
        <v>3921.32795747</v>
      </c>
      <c r="D45" s="30"/>
    </row>
    <row r="46" spans="1:4" x14ac:dyDescent="0.25">
      <c r="A46" s="22" t="s">
        <v>161</v>
      </c>
      <c r="B46" s="49">
        <v>82.83759628</v>
      </c>
      <c r="D46" s="30"/>
    </row>
    <row r="47" spans="1:4" x14ac:dyDescent="0.25">
      <c r="A47" s="22" t="s">
        <v>162</v>
      </c>
      <c r="B47" s="49">
        <v>362.49570781</v>
      </c>
      <c r="D47" s="30"/>
    </row>
    <row r="48" spans="1:4" x14ac:dyDescent="0.25">
      <c r="A48" s="24" t="s">
        <v>171</v>
      </c>
      <c r="B48" s="48">
        <v>7618.6662585800004</v>
      </c>
      <c r="D48" s="29"/>
    </row>
    <row r="49" spans="1:4" x14ac:dyDescent="0.25">
      <c r="A49" s="22" t="s">
        <v>163</v>
      </c>
      <c r="B49" s="49">
        <v>4692.6805862399997</v>
      </c>
      <c r="D49" s="30"/>
    </row>
    <row r="50" spans="1:4" x14ac:dyDescent="0.25">
      <c r="A50" s="22" t="s">
        <v>164</v>
      </c>
      <c r="B50" s="49">
        <v>1802.6515664599999</v>
      </c>
      <c r="D50" s="30"/>
    </row>
    <row r="51" spans="1:4" x14ac:dyDescent="0.25">
      <c r="A51" s="22" t="s">
        <v>165</v>
      </c>
      <c r="B51" s="49">
        <v>55.09513304</v>
      </c>
      <c r="D51" s="30"/>
    </row>
    <row r="52" spans="1:4" x14ac:dyDescent="0.25">
      <c r="A52" s="22" t="s">
        <v>166</v>
      </c>
      <c r="B52" s="49">
        <v>825.29429833999995</v>
      </c>
      <c r="D52" s="30"/>
    </row>
    <row r="53" spans="1:4" x14ac:dyDescent="0.25">
      <c r="A53" s="23" t="s">
        <v>167</v>
      </c>
      <c r="B53" s="50">
        <v>242.94467449999999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/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35531.443018580001</v>
      </c>
    </row>
    <row r="3" spans="1:2" x14ac:dyDescent="0.25">
      <c r="A3" s="33" t="s">
        <v>178</v>
      </c>
      <c r="B3" s="43">
        <v>6799.3836805999999</v>
      </c>
    </row>
    <row r="4" spans="1:2" x14ac:dyDescent="0.25">
      <c r="A4" s="34" t="s">
        <v>179</v>
      </c>
      <c r="B4" s="44">
        <v>4883.5781913500005</v>
      </c>
    </row>
    <row r="5" spans="1:2" x14ac:dyDescent="0.25">
      <c r="A5" s="34" t="s">
        <v>180</v>
      </c>
      <c r="B5" s="44">
        <v>764.12688181999999</v>
      </c>
    </row>
    <row r="6" spans="1:2" x14ac:dyDescent="0.25">
      <c r="A6" s="34" t="s">
        <v>181</v>
      </c>
      <c r="B6" s="44">
        <v>1151.6786074300001</v>
      </c>
    </row>
    <row r="7" spans="1:2" x14ac:dyDescent="0.25">
      <c r="A7" s="33" t="s">
        <v>182</v>
      </c>
      <c r="B7" s="43">
        <v>12288.059822949999</v>
      </c>
    </row>
    <row r="8" spans="1:2" x14ac:dyDescent="0.25">
      <c r="A8" s="34" t="s">
        <v>183</v>
      </c>
      <c r="B8" s="44">
        <v>2178.7017841500001</v>
      </c>
    </row>
    <row r="9" spans="1:2" x14ac:dyDescent="0.25">
      <c r="A9" s="34" t="s">
        <v>184</v>
      </c>
      <c r="B9" s="44">
        <v>292.60839814000002</v>
      </c>
    </row>
    <row r="10" spans="1:2" x14ac:dyDescent="0.25">
      <c r="A10" s="34" t="s">
        <v>185</v>
      </c>
      <c r="B10" s="44">
        <v>482.11012384999998</v>
      </c>
    </row>
    <row r="11" spans="1:2" x14ac:dyDescent="0.25">
      <c r="A11" s="34" t="s">
        <v>186</v>
      </c>
      <c r="B11" s="44">
        <v>8337.3539427199994</v>
      </c>
    </row>
    <row r="12" spans="1:2" x14ac:dyDescent="0.25">
      <c r="A12" s="34" t="s">
        <v>187</v>
      </c>
      <c r="B12" s="44">
        <v>997.28557408999995</v>
      </c>
    </row>
    <row r="13" spans="1:2" x14ac:dyDescent="0.25">
      <c r="A13" s="33" t="s">
        <v>188</v>
      </c>
      <c r="B13" s="43">
        <v>1669.0895602000001</v>
      </c>
    </row>
    <row r="14" spans="1:2" x14ac:dyDescent="0.25">
      <c r="A14" s="34" t="s">
        <v>189</v>
      </c>
      <c r="B14" s="44">
        <v>178.6497689</v>
      </c>
    </row>
    <row r="15" spans="1:2" x14ac:dyDescent="0.25">
      <c r="A15" s="34" t="s">
        <v>190</v>
      </c>
      <c r="B15" s="44">
        <v>1490.4397913</v>
      </c>
    </row>
    <row r="16" spans="1:2" x14ac:dyDescent="0.25">
      <c r="A16" s="33" t="s">
        <v>191</v>
      </c>
      <c r="B16" s="43">
        <v>6144.30421019</v>
      </c>
    </row>
    <row r="17" spans="1:2" x14ac:dyDescent="0.25">
      <c r="A17" s="34" t="s">
        <v>192</v>
      </c>
      <c r="B17" s="44">
        <v>2391.5527711</v>
      </c>
    </row>
    <row r="18" spans="1:2" x14ac:dyDescent="0.25">
      <c r="A18" s="34" t="s">
        <v>193</v>
      </c>
      <c r="B18" s="44">
        <v>318.78053840000001</v>
      </c>
    </row>
    <row r="19" spans="1:2" x14ac:dyDescent="0.25">
      <c r="A19" s="34" t="s">
        <v>194</v>
      </c>
      <c r="B19" s="44">
        <v>3433.9709006899998</v>
      </c>
    </row>
    <row r="20" spans="1:2" x14ac:dyDescent="0.25">
      <c r="A20" s="33" t="s">
        <v>195</v>
      </c>
      <c r="B20" s="43">
        <v>5362.2500497299998</v>
      </c>
    </row>
    <row r="21" spans="1:2" x14ac:dyDescent="0.25">
      <c r="A21" s="34" t="s">
        <v>196</v>
      </c>
      <c r="B21" s="44">
        <v>422.58905465999999</v>
      </c>
    </row>
    <row r="22" spans="1:2" x14ac:dyDescent="0.25">
      <c r="A22" s="34" t="s">
        <v>197</v>
      </c>
      <c r="B22" s="44">
        <v>790.74661163999997</v>
      </c>
    </row>
    <row r="23" spans="1:2" x14ac:dyDescent="0.25">
      <c r="A23" s="34" t="s">
        <v>198</v>
      </c>
      <c r="B23" s="44">
        <v>433.56903849999998</v>
      </c>
    </row>
    <row r="24" spans="1:2" x14ac:dyDescent="0.25">
      <c r="A24" s="34" t="s">
        <v>199</v>
      </c>
      <c r="B24" s="44">
        <v>548.26871476999997</v>
      </c>
    </row>
    <row r="25" spans="1:2" x14ac:dyDescent="0.25">
      <c r="A25" s="34" t="s">
        <v>200</v>
      </c>
      <c r="B25" s="44">
        <v>1409.0464241100001</v>
      </c>
    </row>
    <row r="26" spans="1:2" x14ac:dyDescent="0.25">
      <c r="A26" s="34" t="s">
        <v>201</v>
      </c>
      <c r="B26" s="44">
        <v>940.87862426000004</v>
      </c>
    </row>
    <row r="27" spans="1:2" x14ac:dyDescent="0.25">
      <c r="A27" s="34" t="s">
        <v>187</v>
      </c>
      <c r="B27" s="44">
        <v>817.15158179000002</v>
      </c>
    </row>
    <row r="28" spans="1:2" x14ac:dyDescent="0.25">
      <c r="A28" s="33" t="s">
        <v>202</v>
      </c>
      <c r="B28" s="43">
        <v>2597.56740356</v>
      </c>
    </row>
    <row r="29" spans="1:2" x14ac:dyDescent="0.25">
      <c r="A29" s="35" t="s">
        <v>173</v>
      </c>
      <c r="B29" s="45">
        <v>670.78829135000001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599983.70014804997</v>
      </c>
      <c r="C2">
        <v>2.481356123815659</v>
      </c>
    </row>
    <row r="3" spans="1:3" x14ac:dyDescent="0.25">
      <c r="A3" t="s">
        <v>85</v>
      </c>
      <c r="B3">
        <v>38842.924521107714</v>
      </c>
      <c r="C3">
        <v>18.138938518629178</v>
      </c>
    </row>
    <row r="4" spans="1:3" x14ac:dyDescent="0.25">
      <c r="A4" t="s">
        <v>86</v>
      </c>
      <c r="B4">
        <v>1545.6270924291682</v>
      </c>
      <c r="C4">
        <v>27.45728282807076</v>
      </c>
    </row>
    <row r="5" spans="1:3" x14ac:dyDescent="0.25">
      <c r="A5" t="s">
        <v>87</v>
      </c>
      <c r="B5">
        <v>30755.076629366038</v>
      </c>
      <c r="C5">
        <v>12.334190997099181</v>
      </c>
    </row>
    <row r="6" spans="1:3" x14ac:dyDescent="0.25">
      <c r="A6" t="s">
        <v>88</v>
      </c>
      <c r="B6">
        <v>112761.23165011391</v>
      </c>
      <c r="C6">
        <v>-1.676454111061576</v>
      </c>
    </row>
    <row r="7" spans="1:3" x14ac:dyDescent="0.25">
      <c r="A7" t="s">
        <v>89</v>
      </c>
      <c r="B7">
        <v>12673.907286977306</v>
      </c>
      <c r="C7">
        <v>-1.0509245571815207</v>
      </c>
    </row>
    <row r="8" spans="1:3" x14ac:dyDescent="0.25">
      <c r="A8" t="s">
        <v>90</v>
      </c>
      <c r="B8">
        <v>19017.800104434555</v>
      </c>
      <c r="C8">
        <v>2.5370815997647345</v>
      </c>
    </row>
    <row r="9" spans="1:3" x14ac:dyDescent="0.25">
      <c r="A9" t="s">
        <v>91</v>
      </c>
      <c r="B9">
        <v>91872.245634525272</v>
      </c>
      <c r="C9">
        <v>-0.29307255440298441</v>
      </c>
    </row>
    <row r="10" spans="1:3" x14ac:dyDescent="0.25">
      <c r="A10" t="s">
        <v>92</v>
      </c>
      <c r="B10">
        <v>13022.400979766842</v>
      </c>
      <c r="C10">
        <v>2.7902948421734797</v>
      </c>
    </row>
    <row r="11" spans="1:3" x14ac:dyDescent="0.25">
      <c r="A11" t="s">
        <v>93</v>
      </c>
      <c r="B11">
        <v>55633.327772916178</v>
      </c>
      <c r="C11">
        <v>2.2858102158443083</v>
      </c>
    </row>
    <row r="12" spans="1:3" x14ac:dyDescent="0.25">
      <c r="A12" t="s">
        <v>94</v>
      </c>
      <c r="B12">
        <v>30381.126773097683</v>
      </c>
      <c r="C12">
        <v>7.5048032104928053</v>
      </c>
    </row>
    <row r="13" spans="1:3" x14ac:dyDescent="0.25">
      <c r="A13" t="s">
        <v>95</v>
      </c>
      <c r="B13">
        <v>85939.774708283672</v>
      </c>
      <c r="C13">
        <v>0.89683919333798379</v>
      </c>
    </row>
    <row r="14" spans="1:3" x14ac:dyDescent="0.25">
      <c r="A14" t="s">
        <v>96</v>
      </c>
      <c r="B14">
        <v>34900.492729780119</v>
      </c>
      <c r="C14">
        <v>-1.3759391935735277</v>
      </c>
    </row>
    <row r="15" spans="1:3" x14ac:dyDescent="0.25">
      <c r="A15" t="s">
        <v>97</v>
      </c>
      <c r="B15">
        <v>29912.893832996058</v>
      </c>
      <c r="C15">
        <v>5.5946826390473881E-2</v>
      </c>
    </row>
    <row r="16" spans="1:3" x14ac:dyDescent="0.25">
      <c r="A16" t="s">
        <v>98</v>
      </c>
      <c r="B16">
        <v>23085.607234226565</v>
      </c>
      <c r="C16">
        <v>0.46783601580868694</v>
      </c>
    </row>
    <row r="17" spans="1:3" x14ac:dyDescent="0.25">
      <c r="A17" t="s">
        <v>99</v>
      </c>
      <c r="B17">
        <v>15478.186568411322</v>
      </c>
      <c r="C17">
        <v>0.6554599397215588</v>
      </c>
    </row>
    <row r="18" spans="1:3" x14ac:dyDescent="0.25">
      <c r="A18" t="s">
        <v>100</v>
      </c>
      <c r="B18">
        <v>4161.0766296179845</v>
      </c>
      <c r="C18">
        <v>6.2795181172130343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6"/>
  <sheetViews>
    <sheetView topLeftCell="A112" zoomScaleNormal="100" workbookViewId="0">
      <selection activeCell="B126" sqref="B126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147.90289172962787</v>
      </c>
      <c r="D2" s="36">
        <v>147.06041914463302</v>
      </c>
    </row>
    <row r="3" spans="1:4" x14ac:dyDescent="0.25">
      <c r="A3" s="4">
        <v>42401</v>
      </c>
      <c r="B3" s="17">
        <v>134.23236103862521</v>
      </c>
      <c r="C3" s="36">
        <v>146.87869250897225</v>
      </c>
      <c r="D3" s="36">
        <v>146.48010453906795</v>
      </c>
    </row>
    <row r="4" spans="1:4" x14ac:dyDescent="0.25">
      <c r="A4" s="4">
        <v>42430</v>
      </c>
      <c r="B4" s="17">
        <v>150.0878942366954</v>
      </c>
      <c r="C4" s="36">
        <v>145.96567107119392</v>
      </c>
      <c r="D4" s="36">
        <v>145.92974952061303</v>
      </c>
    </row>
    <row r="5" spans="1:4" x14ac:dyDescent="0.25">
      <c r="A5" s="4">
        <v>42461</v>
      </c>
      <c r="B5" s="17">
        <v>153.25067436662908</v>
      </c>
      <c r="C5" s="36">
        <v>144.71513795719116</v>
      </c>
      <c r="D5" s="36">
        <v>145.4474203087604</v>
      </c>
    </row>
    <row r="6" spans="1:4" x14ac:dyDescent="0.25">
      <c r="A6" s="4">
        <v>42491</v>
      </c>
      <c r="B6" s="17">
        <v>163.51360808690507</v>
      </c>
      <c r="C6" s="36">
        <v>144.57674809588957</v>
      </c>
      <c r="D6" s="36">
        <v>145.06163776867783</v>
      </c>
    </row>
    <row r="7" spans="1:4" x14ac:dyDescent="0.25">
      <c r="A7" s="4">
        <v>42522</v>
      </c>
      <c r="B7" s="17">
        <v>153.66209524099784</v>
      </c>
      <c r="C7" s="36">
        <v>144.37905393460173</v>
      </c>
      <c r="D7" s="36">
        <v>144.79388930864746</v>
      </c>
    </row>
    <row r="8" spans="1:4" x14ac:dyDescent="0.25">
      <c r="A8" s="4">
        <v>42552</v>
      </c>
      <c r="B8" s="17">
        <v>143.73110098180126</v>
      </c>
      <c r="C8" s="36">
        <v>144.58278827113989</v>
      </c>
      <c r="D8" s="36">
        <v>144.65415992044788</v>
      </c>
    </row>
    <row r="9" spans="1:4" x14ac:dyDescent="0.25">
      <c r="A9" s="4">
        <v>42583</v>
      </c>
      <c r="B9" s="17">
        <v>143.6741026486049</v>
      </c>
      <c r="C9" s="36">
        <v>145.65089775486558</v>
      </c>
      <c r="D9" s="36">
        <v>144.64490844807989</v>
      </c>
    </row>
    <row r="10" spans="1:4" x14ac:dyDescent="0.25">
      <c r="A10" s="4">
        <v>42614</v>
      </c>
      <c r="B10" s="17">
        <v>142.00773744282046</v>
      </c>
      <c r="C10" s="36">
        <v>145.01879848640064</v>
      </c>
      <c r="D10" s="36">
        <v>144.76441821007117</v>
      </c>
    </row>
    <row r="11" spans="1:4" x14ac:dyDescent="0.25">
      <c r="A11" s="4">
        <v>42644</v>
      </c>
      <c r="B11" s="17">
        <v>141.13686329808141</v>
      </c>
      <c r="C11" s="36">
        <v>145.15354369792067</v>
      </c>
      <c r="D11" s="36">
        <v>145.00423578331799</v>
      </c>
    </row>
    <row r="12" spans="1:4" x14ac:dyDescent="0.25">
      <c r="A12" s="4">
        <v>42675</v>
      </c>
      <c r="B12" s="17">
        <v>144.93832064073018</v>
      </c>
      <c r="C12" s="36">
        <v>145.78824914209579</v>
      </c>
      <c r="D12" s="36">
        <v>145.3496394533513</v>
      </c>
    </row>
    <row r="13" spans="1:4" x14ac:dyDescent="0.25">
      <c r="A13" s="4">
        <v>42705</v>
      </c>
      <c r="B13" s="17">
        <v>142.59014516031914</v>
      </c>
      <c r="C13" s="36">
        <v>146.95888147081035</v>
      </c>
      <c r="D13" s="36">
        <v>145.78841177630977</v>
      </c>
    </row>
    <row r="14" spans="1:4" x14ac:dyDescent="0.25">
      <c r="A14" s="4">
        <v>42736</v>
      </c>
      <c r="B14" s="17">
        <v>136.63265948316197</v>
      </c>
      <c r="C14" s="36">
        <v>147.08627326950506</v>
      </c>
      <c r="D14" s="36">
        <v>146.3065815191809</v>
      </c>
    </row>
    <row r="15" spans="1:4" x14ac:dyDescent="0.25">
      <c r="A15" s="4">
        <v>42767</v>
      </c>
      <c r="B15" s="17">
        <v>132.15851633982263</v>
      </c>
      <c r="C15" s="36">
        <v>146.81395008705243</v>
      </c>
      <c r="D15" s="36">
        <v>146.88669274545626</v>
      </c>
    </row>
    <row r="16" spans="1:4" x14ac:dyDescent="0.25">
      <c r="A16" s="4">
        <v>42795</v>
      </c>
      <c r="B16" s="17">
        <v>152.62095855905721</v>
      </c>
      <c r="C16" s="36">
        <v>147.64480930022708</v>
      </c>
      <c r="D16" s="36">
        <v>147.51139127886813</v>
      </c>
    </row>
    <row r="17" spans="1:4" x14ac:dyDescent="0.25">
      <c r="A17" s="4">
        <v>42826</v>
      </c>
      <c r="B17" s="17">
        <v>151.94634480448727</v>
      </c>
      <c r="C17" s="36">
        <v>147.67329037105645</v>
      </c>
      <c r="D17" s="36">
        <v>148.16108451834779</v>
      </c>
    </row>
    <row r="18" spans="1:4" x14ac:dyDescent="0.25">
      <c r="A18" s="4">
        <v>42856</v>
      </c>
      <c r="B18" s="17">
        <v>168.38920946936767</v>
      </c>
      <c r="C18" s="36">
        <v>148.67448204725812</v>
      </c>
      <c r="D18" s="36">
        <v>148.80990363486927</v>
      </c>
    </row>
    <row r="19" spans="1:4" x14ac:dyDescent="0.25">
      <c r="A19" s="4">
        <v>42887</v>
      </c>
      <c r="B19" s="17">
        <v>161.0356854694522</v>
      </c>
      <c r="C19" s="36">
        <v>150.27199303046453</v>
      </c>
      <c r="D19" s="36">
        <v>149.42763427653395</v>
      </c>
    </row>
    <row r="20" spans="1:4" x14ac:dyDescent="0.25">
      <c r="A20" s="4">
        <v>42917</v>
      </c>
      <c r="B20" s="17">
        <v>150.3060501239199</v>
      </c>
      <c r="C20" s="36">
        <v>150.46351778388978</v>
      </c>
      <c r="D20" s="36">
        <v>149.97952638836915</v>
      </c>
    </row>
    <row r="21" spans="1:4" x14ac:dyDescent="0.25">
      <c r="A21" s="4">
        <v>42948</v>
      </c>
      <c r="B21" s="17">
        <v>149.25534277384099</v>
      </c>
      <c r="C21" s="36">
        <v>150.39057754222844</v>
      </c>
      <c r="D21" s="36">
        <v>150.42776468517482</v>
      </c>
    </row>
    <row r="22" spans="1:4" x14ac:dyDescent="0.25">
      <c r="A22" s="4">
        <v>42979</v>
      </c>
      <c r="B22" s="17">
        <v>146.38655965775374</v>
      </c>
      <c r="C22" s="36">
        <v>151.21749422435974</v>
      </c>
      <c r="D22" s="36">
        <v>150.73346509955473</v>
      </c>
    </row>
    <row r="23" spans="1:4" x14ac:dyDescent="0.25">
      <c r="A23" s="4">
        <v>43009</v>
      </c>
      <c r="B23" s="17">
        <v>149.38594966601445</v>
      </c>
      <c r="C23" s="36">
        <v>151.71275927869797</v>
      </c>
      <c r="D23" s="36">
        <v>150.8656502006244</v>
      </c>
    </row>
    <row r="24" spans="1:4" x14ac:dyDescent="0.25">
      <c r="A24" s="4">
        <v>43040</v>
      </c>
      <c r="B24" s="17">
        <v>151.92604285202682</v>
      </c>
      <c r="C24" s="36">
        <v>152.63221481224414</v>
      </c>
      <c r="D24" s="36">
        <v>150.79907205919287</v>
      </c>
    </row>
    <row r="25" spans="1:4" x14ac:dyDescent="0.25">
      <c r="A25" s="4">
        <v>43070</v>
      </c>
      <c r="B25" s="17">
        <v>146.78338490922437</v>
      </c>
      <c r="C25" s="36">
        <v>152.24534294207206</v>
      </c>
      <c r="D25" s="36">
        <v>150.52073983983868</v>
      </c>
    </row>
    <row r="26" spans="1:4" x14ac:dyDescent="0.25">
      <c r="A26" s="4">
        <v>43101</v>
      </c>
      <c r="B26" s="17">
        <v>142.74091260617209</v>
      </c>
      <c r="C26" s="36">
        <v>150.97750196780996</v>
      </c>
      <c r="D26" s="36">
        <v>150.03524574481486</v>
      </c>
    </row>
    <row r="27" spans="1:4" x14ac:dyDescent="0.25">
      <c r="A27" s="4">
        <v>43132</v>
      </c>
      <c r="B27" s="17">
        <v>138.81804035165729</v>
      </c>
      <c r="C27" s="36">
        <v>152.19147467174869</v>
      </c>
      <c r="D27" s="36">
        <v>149.36435462115523</v>
      </c>
    </row>
    <row r="28" spans="1:4" x14ac:dyDescent="0.25">
      <c r="A28" s="4">
        <v>43160</v>
      </c>
      <c r="B28" s="17">
        <v>155.85731953576962</v>
      </c>
      <c r="C28" s="36">
        <v>151.5287558105469</v>
      </c>
      <c r="D28" s="36">
        <v>148.54649497358778</v>
      </c>
    </row>
    <row r="29" spans="1:4" x14ac:dyDescent="0.25">
      <c r="A29" s="4">
        <v>43191</v>
      </c>
      <c r="B29" s="17">
        <v>151.52454398394329</v>
      </c>
      <c r="C29" s="36">
        <v>146.79265782593984</v>
      </c>
      <c r="D29" s="36">
        <v>147.62845357197196</v>
      </c>
    </row>
    <row r="30" spans="1:4" x14ac:dyDescent="0.25">
      <c r="A30" s="4">
        <v>43221</v>
      </c>
      <c r="B30" s="17">
        <v>159.56669237791655</v>
      </c>
      <c r="C30" s="36">
        <v>144.56308740741699</v>
      </c>
      <c r="D30" s="36">
        <v>146.66554660531108</v>
      </c>
    </row>
    <row r="31" spans="1:4" x14ac:dyDescent="0.25">
      <c r="A31" s="4">
        <v>43252</v>
      </c>
      <c r="B31" s="17">
        <v>151.1257632334551</v>
      </c>
      <c r="C31" s="36">
        <v>143.25908288947755</v>
      </c>
      <c r="D31" s="36">
        <v>145.71598087635073</v>
      </c>
    </row>
    <row r="32" spans="1:4" x14ac:dyDescent="0.25">
      <c r="A32" s="4">
        <v>43282</v>
      </c>
      <c r="B32" s="17">
        <v>145.96352443000447</v>
      </c>
      <c r="C32" s="36">
        <v>143.57920900072801</v>
      </c>
      <c r="D32" s="36">
        <v>144.83291842509811</v>
      </c>
    </row>
    <row r="33" spans="1:4" x14ac:dyDescent="0.25">
      <c r="A33" s="4">
        <v>43313</v>
      </c>
      <c r="B33" s="17">
        <v>146.76596003413957</v>
      </c>
      <c r="C33" s="36">
        <v>146.53723087700519</v>
      </c>
      <c r="D33" s="36">
        <v>144.06472199992993</v>
      </c>
    </row>
    <row r="34" spans="1:4" x14ac:dyDescent="0.25">
      <c r="A34" s="4">
        <v>43344</v>
      </c>
      <c r="B34" s="17">
        <v>137.74656971864789</v>
      </c>
      <c r="C34" s="36">
        <v>143.1322414333213</v>
      </c>
      <c r="D34" s="36">
        <v>143.44595234523834</v>
      </c>
    </row>
    <row r="35" spans="1:4" x14ac:dyDescent="0.25">
      <c r="A35" s="4">
        <v>43374</v>
      </c>
      <c r="B35" s="17">
        <v>142.8432759845675</v>
      </c>
      <c r="C35" s="36">
        <v>143.59558509549367</v>
      </c>
      <c r="D35" s="36">
        <v>142.99316083040782</v>
      </c>
    </row>
    <row r="36" spans="1:4" x14ac:dyDescent="0.25">
      <c r="A36" s="4">
        <v>43405</v>
      </c>
      <c r="B36" s="17">
        <v>140.59240732533553</v>
      </c>
      <c r="C36" s="36">
        <v>141.66615037738163</v>
      </c>
      <c r="D36" s="36">
        <v>142.70789004237591</v>
      </c>
    </row>
    <row r="37" spans="1:4" x14ac:dyDescent="0.25">
      <c r="A37" s="4">
        <v>43435</v>
      </c>
      <c r="B37" s="17">
        <v>136.25161596905625</v>
      </c>
      <c r="C37" s="36">
        <v>141.97364875950399</v>
      </c>
      <c r="D37" s="36">
        <v>142.57713267970016</v>
      </c>
    </row>
    <row r="38" spans="1:4" x14ac:dyDescent="0.25">
      <c r="A38" s="4">
        <v>43466</v>
      </c>
      <c r="B38" s="17">
        <v>134.53623985669569</v>
      </c>
      <c r="C38" s="36">
        <v>141.39772924062791</v>
      </c>
      <c r="D38" s="36">
        <v>142.57245366664446</v>
      </c>
    </row>
    <row r="39" spans="1:4" x14ac:dyDescent="0.25">
      <c r="A39" s="4">
        <v>43497</v>
      </c>
      <c r="B39" s="17">
        <v>132.2678886127365</v>
      </c>
      <c r="C39" s="36">
        <v>143.65890168370726</v>
      </c>
      <c r="D39" s="36">
        <v>142.6556943490732</v>
      </c>
    </row>
    <row r="40" spans="1:4" x14ac:dyDescent="0.25">
      <c r="A40" s="4">
        <v>43525</v>
      </c>
      <c r="B40" s="17">
        <v>144.96325495574902</v>
      </c>
      <c r="C40" s="36">
        <v>142.25994004126758</v>
      </c>
      <c r="D40" s="36">
        <v>142.78455876892951</v>
      </c>
    </row>
    <row r="41" spans="1:4" x14ac:dyDescent="0.25">
      <c r="A41" s="4">
        <v>43556</v>
      </c>
      <c r="B41" s="17">
        <v>149.91622140352257</v>
      </c>
      <c r="C41" s="36">
        <v>142.60578725333434</v>
      </c>
      <c r="D41" s="36">
        <v>142.91282858001958</v>
      </c>
    </row>
    <row r="42" spans="1:4" x14ac:dyDescent="0.25">
      <c r="A42" s="4">
        <v>43586</v>
      </c>
      <c r="B42" s="17">
        <v>164.13569907592026</v>
      </c>
      <c r="C42" s="36">
        <v>144.83824997198266</v>
      </c>
      <c r="D42" s="36">
        <v>142.99820287071864</v>
      </c>
    </row>
    <row r="43" spans="1:4" x14ac:dyDescent="0.25">
      <c r="A43" s="4">
        <v>43617</v>
      </c>
      <c r="B43" s="17">
        <v>150.85897174113111</v>
      </c>
      <c r="C43" s="36">
        <v>144.03378129578405</v>
      </c>
      <c r="D43" s="36">
        <v>143.00474250423559</v>
      </c>
    </row>
    <row r="44" spans="1:4" x14ac:dyDescent="0.25">
      <c r="A44" s="4">
        <v>43647</v>
      </c>
      <c r="B44" s="17">
        <v>146.7770296400702</v>
      </c>
      <c r="C44" s="36">
        <v>145.83568077855986</v>
      </c>
      <c r="D44" s="36">
        <v>142.90491277618392</v>
      </c>
    </row>
    <row r="45" spans="1:4" x14ac:dyDescent="0.25">
      <c r="A45" s="4">
        <v>43678</v>
      </c>
      <c r="B45" s="17">
        <v>141.27693468084021</v>
      </c>
      <c r="C45" s="36">
        <v>144.7905932858464</v>
      </c>
      <c r="D45" s="36">
        <v>142.68208431588255</v>
      </c>
    </row>
    <row r="46" spans="1:4" x14ac:dyDescent="0.25">
      <c r="A46" s="4">
        <v>43709</v>
      </c>
      <c r="B46" s="17">
        <v>134.87706647993639</v>
      </c>
      <c r="C46" s="36">
        <v>140.55731399665021</v>
      </c>
      <c r="D46" s="36">
        <v>142.33147985322461</v>
      </c>
    </row>
    <row r="47" spans="1:4" x14ac:dyDescent="0.25">
      <c r="A47" s="4">
        <v>43739</v>
      </c>
      <c r="B47" s="17">
        <v>141.63933661701367</v>
      </c>
      <c r="C47" s="36">
        <v>143.79727407340053</v>
      </c>
      <c r="D47" s="36">
        <v>141.85956089737351</v>
      </c>
    </row>
    <row r="48" spans="1:4" x14ac:dyDescent="0.25">
      <c r="A48" s="4">
        <v>43770</v>
      </c>
      <c r="B48" s="17">
        <v>137.77182966933134</v>
      </c>
      <c r="C48" s="36">
        <v>140.88368953714604</v>
      </c>
      <c r="D48" s="36">
        <v>141.28341184211027</v>
      </c>
    </row>
    <row r="49" spans="1:4" x14ac:dyDescent="0.25">
      <c r="A49" s="4">
        <v>43800</v>
      </c>
      <c r="B49" s="17">
        <v>135.76515452763488</v>
      </c>
      <c r="C49" s="36">
        <v>140.12668665666166</v>
      </c>
      <c r="D49" s="36">
        <v>140.6304263163494</v>
      </c>
    </row>
    <row r="50" spans="1:4" x14ac:dyDescent="0.25">
      <c r="A50" s="4">
        <v>43831</v>
      </c>
      <c r="B50" s="17">
        <v>133.89108608957227</v>
      </c>
      <c r="C50" s="36">
        <v>140.93017714538223</v>
      </c>
      <c r="D50" s="36">
        <v>139.93237577469208</v>
      </c>
    </row>
    <row r="51" spans="1:4" x14ac:dyDescent="0.25">
      <c r="A51" s="4">
        <v>43862</v>
      </c>
      <c r="B51" s="17">
        <v>128.97363874659808</v>
      </c>
      <c r="C51" s="36">
        <v>139.54976127560565</v>
      </c>
      <c r="D51" s="36">
        <v>139.22448358107718</v>
      </c>
    </row>
    <row r="52" spans="1:4" x14ac:dyDescent="0.25">
      <c r="A52" s="4">
        <v>43891</v>
      </c>
      <c r="B52" s="17">
        <v>128.21106074025653</v>
      </c>
      <c r="C52" s="36">
        <v>125.96024771330764</v>
      </c>
      <c r="D52" s="36">
        <v>138.54271042734956</v>
      </c>
    </row>
    <row r="53" spans="1:4" x14ac:dyDescent="0.25">
      <c r="A53" s="4">
        <v>43922</v>
      </c>
      <c r="B53" s="17">
        <v>113.29503444580143</v>
      </c>
      <c r="C53" s="36">
        <v>105.99227909223607</v>
      </c>
      <c r="D53" s="36">
        <v>137.92242935265389</v>
      </c>
    </row>
    <row r="54" spans="1:4" x14ac:dyDescent="0.25">
      <c r="A54" s="4">
        <v>43952</v>
      </c>
      <c r="B54" s="17">
        <v>131.02956919734902</v>
      </c>
      <c r="C54" s="36">
        <v>117.20962176752099</v>
      </c>
      <c r="D54" s="36">
        <v>137.39712668302374</v>
      </c>
    </row>
    <row r="55" spans="1:4" x14ac:dyDescent="0.25">
      <c r="A55" s="4">
        <v>43983</v>
      </c>
      <c r="B55" s="17">
        <v>132.52196526648763</v>
      </c>
      <c r="C55" s="36">
        <v>124.3449729358869</v>
      </c>
      <c r="D55" s="36">
        <v>136.99165283445276</v>
      </c>
    </row>
    <row r="56" spans="1:4" x14ac:dyDescent="0.25">
      <c r="A56" s="4">
        <v>44013</v>
      </c>
      <c r="B56" s="17">
        <v>127.46368946979391</v>
      </c>
      <c r="C56" s="36">
        <v>126.15819490838572</v>
      </c>
      <c r="D56" s="36">
        <v>136.72209103841908</v>
      </c>
    </row>
    <row r="57" spans="1:4" x14ac:dyDescent="0.25">
      <c r="A57" s="4">
        <v>44044</v>
      </c>
      <c r="B57" s="17">
        <v>125.18389375984641</v>
      </c>
      <c r="C57" s="36">
        <v>128.84415787500245</v>
      </c>
      <c r="D57" s="36">
        <v>136.59679330726365</v>
      </c>
    </row>
    <row r="58" spans="1:4" x14ac:dyDescent="0.25">
      <c r="A58" s="4">
        <v>44075</v>
      </c>
      <c r="B58" s="17">
        <v>127.1750760933527</v>
      </c>
      <c r="C58" s="36">
        <v>130.79654793201593</v>
      </c>
      <c r="D58" s="36">
        <v>136.61536603928135</v>
      </c>
    </row>
    <row r="59" spans="1:4" x14ac:dyDescent="0.25">
      <c r="A59" s="4">
        <v>44105</v>
      </c>
      <c r="B59" s="17">
        <v>131.34550189452784</v>
      </c>
      <c r="C59" s="36">
        <v>133.39866145682996</v>
      </c>
      <c r="D59" s="36">
        <v>136.77112663605229</v>
      </c>
    </row>
    <row r="60" spans="1:4" x14ac:dyDescent="0.25">
      <c r="A60" s="4">
        <v>44136</v>
      </c>
      <c r="B60" s="17">
        <v>132.06865525299659</v>
      </c>
      <c r="C60" s="36">
        <v>134.87132101698435</v>
      </c>
      <c r="D60" s="36">
        <v>137.05076753412618</v>
      </c>
    </row>
    <row r="61" spans="1:4" x14ac:dyDescent="0.25">
      <c r="A61" s="4">
        <v>44166</v>
      </c>
      <c r="B61" s="17">
        <v>133.85436559460604</v>
      </c>
      <c r="C61" s="36">
        <v>136.95759393151968</v>
      </c>
      <c r="D61" s="36">
        <v>137.43790389556929</v>
      </c>
    </row>
    <row r="62" spans="1:4" x14ac:dyDescent="0.25">
      <c r="A62" s="4">
        <v>44197</v>
      </c>
      <c r="B62" s="17">
        <v>131.52153739731881</v>
      </c>
      <c r="C62" s="36">
        <v>139.84976777699663</v>
      </c>
      <c r="D62" s="36">
        <v>137.91642405398932</v>
      </c>
    </row>
    <row r="63" spans="1:4" x14ac:dyDescent="0.25">
      <c r="A63" s="4">
        <v>44228</v>
      </c>
      <c r="B63" s="17">
        <v>126.23926696836405</v>
      </c>
      <c r="C63" s="36">
        <v>138.24267956970155</v>
      </c>
      <c r="D63" s="36">
        <v>138.47503425796688</v>
      </c>
    </row>
    <row r="64" spans="1:4" x14ac:dyDescent="0.25">
      <c r="A64" s="4">
        <v>44256</v>
      </c>
      <c r="B64" s="17">
        <v>145.95690010364706</v>
      </c>
      <c r="C64" s="36">
        <v>140.89139329828407</v>
      </c>
      <c r="D64" s="36">
        <v>139.10476344710142</v>
      </c>
    </row>
    <row r="65" spans="1:4" x14ac:dyDescent="0.25">
      <c r="A65" s="4">
        <v>44287</v>
      </c>
      <c r="B65" s="17">
        <v>147.28084401875944</v>
      </c>
      <c r="C65" s="36">
        <v>139.3115864823003</v>
      </c>
      <c r="D65" s="36">
        <v>139.80273184864561</v>
      </c>
    </row>
    <row r="66" spans="1:4" x14ac:dyDescent="0.25">
      <c r="A66" s="4">
        <v>44317</v>
      </c>
      <c r="B66" s="17">
        <v>151.16932233874812</v>
      </c>
      <c r="C66" s="36">
        <v>138.85916439674222</v>
      </c>
      <c r="D66" s="36">
        <v>140.56795196459669</v>
      </c>
    </row>
    <row r="67" spans="1:4" x14ac:dyDescent="0.25">
      <c r="A67" s="4">
        <v>44348</v>
      </c>
      <c r="B67" s="17">
        <v>148.97961710841227</v>
      </c>
      <c r="C67" s="36">
        <v>141.52410726823069</v>
      </c>
      <c r="D67" s="36">
        <v>141.39767517306643</v>
      </c>
    </row>
    <row r="68" spans="1:4" x14ac:dyDescent="0.25">
      <c r="A68" s="4">
        <v>44378</v>
      </c>
      <c r="B68" s="17">
        <v>142.42591306035797</v>
      </c>
      <c r="C68" s="36">
        <v>141.37916581108891</v>
      </c>
      <c r="D68" s="36">
        <v>142.29185441448868</v>
      </c>
    </row>
    <row r="69" spans="1:4" x14ac:dyDescent="0.25">
      <c r="A69" s="4">
        <v>44409</v>
      </c>
      <c r="B69" s="17">
        <v>140.97494072777721</v>
      </c>
      <c r="C69" s="36">
        <v>143.31590238415345</v>
      </c>
      <c r="D69" s="36">
        <v>143.24949089718777</v>
      </c>
    </row>
    <row r="70" spans="1:4" x14ac:dyDescent="0.25">
      <c r="A70" s="4">
        <v>44440</v>
      </c>
      <c r="B70" s="17">
        <v>141.29608909028403</v>
      </c>
      <c r="C70" s="36">
        <v>144.17734645091775</v>
      </c>
      <c r="D70" s="36">
        <v>144.263236099306</v>
      </c>
    </row>
    <row r="71" spans="1:4" x14ac:dyDescent="0.25">
      <c r="A71" s="4">
        <v>44470</v>
      </c>
      <c r="B71" s="17">
        <v>139.51475869967888</v>
      </c>
      <c r="C71" s="36">
        <v>143.35586178313645</v>
      </c>
      <c r="D71" s="36">
        <v>145.32006310709181</v>
      </c>
    </row>
    <row r="72" spans="1:4" x14ac:dyDescent="0.25">
      <c r="A72" s="4">
        <v>44501</v>
      </c>
      <c r="B72" s="17">
        <v>143.75187761888847</v>
      </c>
      <c r="C72" s="36">
        <v>145.71356699110419</v>
      </c>
      <c r="D72" s="36">
        <v>146.39501768319394</v>
      </c>
    </row>
    <row r="73" spans="1:4" x14ac:dyDescent="0.25">
      <c r="A73" s="4">
        <v>44531</v>
      </c>
      <c r="B73" s="17">
        <v>147.22987831813373</v>
      </c>
      <c r="C73" s="36">
        <v>149.72040378936583</v>
      </c>
      <c r="D73" s="36">
        <v>147.4511533036428</v>
      </c>
    </row>
    <row r="74" spans="1:4" x14ac:dyDescent="0.25">
      <c r="A74" s="4">
        <v>44562</v>
      </c>
      <c r="B74" s="17">
        <v>139.637961612281</v>
      </c>
      <c r="C74" s="36">
        <v>148.52454567203267</v>
      </c>
      <c r="D74" s="36">
        <v>148.44590874633826</v>
      </c>
    </row>
    <row r="75" spans="1:4" x14ac:dyDescent="0.25">
      <c r="A75" s="4">
        <v>44593</v>
      </c>
      <c r="B75" s="17">
        <v>137.84951352507554</v>
      </c>
      <c r="C75" s="36">
        <v>150.70922638827258</v>
      </c>
      <c r="D75" s="36">
        <v>149.33437192086149</v>
      </c>
    </row>
    <row r="76" spans="1:4" x14ac:dyDescent="0.25">
      <c r="A76" s="4">
        <v>44621</v>
      </c>
      <c r="B76" s="17">
        <v>153.9308507942531</v>
      </c>
      <c r="C76" s="36">
        <v>150.34672378542243</v>
      </c>
      <c r="D76" s="36">
        <v>150.07876932527918</v>
      </c>
    </row>
    <row r="77" spans="1:4" x14ac:dyDescent="0.25">
      <c r="A77" s="4">
        <v>44652</v>
      </c>
      <c r="B77" s="17">
        <v>157.66169217344674</v>
      </c>
      <c r="C77" s="36">
        <v>152.09770494152977</v>
      </c>
      <c r="D77" s="36">
        <v>150.65168869920231</v>
      </c>
    </row>
    <row r="78" spans="1:4" x14ac:dyDescent="0.25">
      <c r="A78" s="4">
        <v>44682</v>
      </c>
      <c r="B78" s="17">
        <v>164.68936311408393</v>
      </c>
      <c r="C78" s="36">
        <v>152.12668174406087</v>
      </c>
      <c r="D78" s="36">
        <v>151.03686923587975</v>
      </c>
    </row>
    <row r="79" spans="1:4" x14ac:dyDescent="0.25">
      <c r="A79" s="4">
        <v>44713</v>
      </c>
      <c r="B79" s="17">
        <v>161.4548342812127</v>
      </c>
      <c r="C79" s="36">
        <v>154.30297450812731</v>
      </c>
      <c r="D79" s="36">
        <v>151.2301275132958</v>
      </c>
    </row>
    <row r="80" spans="1:4" x14ac:dyDescent="0.25">
      <c r="A80" s="4">
        <v>44743</v>
      </c>
      <c r="B80" s="17">
        <v>152.44538743586068</v>
      </c>
      <c r="C80" s="36">
        <v>152.5581973587675</v>
      </c>
      <c r="D80" s="36">
        <v>151.24393962017717</v>
      </c>
    </row>
    <row r="81" spans="1:4" x14ac:dyDescent="0.25">
      <c r="A81" s="4">
        <v>44774</v>
      </c>
      <c r="B81" s="17">
        <v>151.46573891606155</v>
      </c>
      <c r="C81" s="36">
        <v>151.72301499095741</v>
      </c>
      <c r="D81" s="36">
        <v>151.10403481382463</v>
      </c>
    </row>
    <row r="82" spans="1:4" x14ac:dyDescent="0.25">
      <c r="A82" s="4">
        <v>44805</v>
      </c>
      <c r="B82" s="17">
        <v>149.17434970528168</v>
      </c>
      <c r="C82" s="36">
        <v>150.78775112517866</v>
      </c>
      <c r="D82" s="36">
        <v>150.84526135445358</v>
      </c>
    </row>
    <row r="83" spans="1:4" x14ac:dyDescent="0.25">
      <c r="A83" s="4">
        <v>44835</v>
      </c>
      <c r="B83" s="17">
        <v>146.55439616170329</v>
      </c>
      <c r="C83" s="36">
        <v>149.08575921389939</v>
      </c>
      <c r="D83" s="36">
        <v>150.50645589049475</v>
      </c>
    </row>
    <row r="84" spans="1:4" x14ac:dyDescent="0.25">
      <c r="A84" s="4">
        <v>44866</v>
      </c>
      <c r="B84" s="17">
        <v>148.03049492952468</v>
      </c>
      <c r="C84" s="36">
        <v>148.327566132046</v>
      </c>
      <c r="D84" s="36">
        <v>150.12486758078268</v>
      </c>
    </row>
    <row r="85" spans="1:4" x14ac:dyDescent="0.25">
      <c r="A85" s="4">
        <v>44896</v>
      </c>
      <c r="B85" s="17">
        <v>146.18080633796006</v>
      </c>
      <c r="C85" s="36">
        <v>148.48524371131373</v>
      </c>
      <c r="D85" s="36">
        <v>149.73336917647515</v>
      </c>
    </row>
    <row r="86" spans="1:4" x14ac:dyDescent="0.25">
      <c r="A86" s="4">
        <v>44927</v>
      </c>
      <c r="B86" s="17">
        <v>143.03462349487495</v>
      </c>
      <c r="C86" s="36">
        <v>149.95772966081552</v>
      </c>
      <c r="D86" s="36">
        <v>149.35503971635941</v>
      </c>
    </row>
    <row r="87" spans="1:4" x14ac:dyDescent="0.25">
      <c r="A87" s="4">
        <v>44958</v>
      </c>
      <c r="B87" s="17">
        <v>137.26646276476467</v>
      </c>
      <c r="C87" s="36">
        <v>150.15642424124019</v>
      </c>
      <c r="D87" s="36">
        <v>148.99990522247347</v>
      </c>
    </row>
    <row r="88" spans="1:4" x14ac:dyDescent="0.25">
      <c r="A88" s="4">
        <v>44986</v>
      </c>
      <c r="B88" s="17">
        <v>155.06501366898644</v>
      </c>
      <c r="C88" s="36">
        <v>150.7559630178034</v>
      </c>
      <c r="D88" s="36">
        <v>148.66373870024944</v>
      </c>
    </row>
    <row r="89" spans="1:4" x14ac:dyDescent="0.25">
      <c r="A89" s="4">
        <v>45017</v>
      </c>
      <c r="B89" s="17">
        <v>150.05952685125044</v>
      </c>
      <c r="C89" s="36">
        <v>147.35748735405127</v>
      </c>
      <c r="D89" s="36">
        <v>148.33221429847092</v>
      </c>
    </row>
    <row r="90" spans="1:4" x14ac:dyDescent="0.25">
      <c r="A90" s="4">
        <v>45047</v>
      </c>
      <c r="B90" s="17">
        <v>153.81085419260503</v>
      </c>
      <c r="C90" s="36">
        <v>145.5527260528016</v>
      </c>
      <c r="D90" s="36">
        <v>147.98297145239175</v>
      </c>
    </row>
    <row r="91" spans="1:4" x14ac:dyDescent="0.25">
      <c r="A91" s="4">
        <v>45078</v>
      </c>
      <c r="B91" s="17">
        <v>152.59547604809092</v>
      </c>
      <c r="C91" s="36">
        <v>146.06326749676077</v>
      </c>
      <c r="D91" s="36">
        <v>147.59607526377985</v>
      </c>
    </row>
    <row r="92" spans="1:4" x14ac:dyDescent="0.25">
      <c r="A92" s="4">
        <v>45108</v>
      </c>
      <c r="B92" s="17">
        <v>150.20312548190341</v>
      </c>
      <c r="C92" s="36">
        <v>148.72466380879337</v>
      </c>
      <c r="D92" s="36">
        <v>147.15967189693004</v>
      </c>
    </row>
    <row r="93" spans="1:4" x14ac:dyDescent="0.25">
      <c r="A93" s="4">
        <v>45139</v>
      </c>
      <c r="B93" s="17">
        <v>151.92217935804922</v>
      </c>
      <c r="C93" s="36">
        <v>150.05694584045796</v>
      </c>
      <c r="D93" s="36">
        <v>146.67009144248809</v>
      </c>
    </row>
    <row r="94" spans="1:4" x14ac:dyDescent="0.25">
      <c r="A94" s="4">
        <v>45170</v>
      </c>
      <c r="B94" s="17">
        <v>148.41237963987399</v>
      </c>
      <c r="C94" s="36">
        <v>149.69824700570871</v>
      </c>
      <c r="D94" s="36">
        <v>146.13676611930737</v>
      </c>
    </row>
    <row r="95" spans="1:4" x14ac:dyDescent="0.25">
      <c r="A95" s="4">
        <v>45200</v>
      </c>
      <c r="B95" s="17">
        <v>147.51381305414859</v>
      </c>
      <c r="C95" s="36">
        <v>148.01321137160105</v>
      </c>
      <c r="D95" s="36">
        <v>145.5826226763221</v>
      </c>
    </row>
    <row r="96" spans="1:4" x14ac:dyDescent="0.25">
      <c r="A96" s="4">
        <v>45231</v>
      </c>
      <c r="B96" s="17">
        <v>146.36635232721147</v>
      </c>
      <c r="C96" s="36">
        <v>146.38829854061774</v>
      </c>
      <c r="D96" s="36">
        <v>145.03868020466888</v>
      </c>
    </row>
    <row r="97" spans="1:4" x14ac:dyDescent="0.25">
      <c r="A97" s="4">
        <v>45261</v>
      </c>
      <c r="B97" s="17">
        <v>139.34262723777164</v>
      </c>
      <c r="C97" s="36">
        <v>142.86747030290806</v>
      </c>
      <c r="D97" s="36">
        <v>144.54822439405362</v>
      </c>
    </row>
    <row r="98" spans="1:4" x14ac:dyDescent="0.25">
      <c r="A98" s="4">
        <v>45292</v>
      </c>
      <c r="B98" s="17">
        <v>137.37335120058367</v>
      </c>
      <c r="C98" s="36">
        <v>143.5536731054936</v>
      </c>
      <c r="D98" s="36">
        <v>144.15895332179335</v>
      </c>
    </row>
    <row r="99" spans="1:4" x14ac:dyDescent="0.25">
      <c r="A99" s="4">
        <v>45323</v>
      </c>
      <c r="B99" s="17">
        <v>133.46450581005294</v>
      </c>
      <c r="C99" s="36">
        <v>143.80881964781162</v>
      </c>
      <c r="D99" s="36">
        <v>143.91670347404232</v>
      </c>
    </row>
    <row r="100" spans="1:4" x14ac:dyDescent="0.25">
      <c r="A100" s="4">
        <v>45352</v>
      </c>
      <c r="B100" s="17">
        <v>142.39572385637248</v>
      </c>
      <c r="C100" s="36">
        <v>142.11453041710828</v>
      </c>
      <c r="D100" s="36">
        <v>143.86036158327045</v>
      </c>
    </row>
    <row r="101" spans="1:4" x14ac:dyDescent="0.25">
      <c r="A101" s="4">
        <v>45383</v>
      </c>
      <c r="B101" s="17">
        <v>147.25690008767782</v>
      </c>
      <c r="C101" s="36">
        <v>141.05611588000892</v>
      </c>
      <c r="D101" s="36">
        <v>144.01125926444928</v>
      </c>
    </row>
    <row r="102" spans="1:4" x14ac:dyDescent="0.25">
      <c r="A102" s="4">
        <v>45413</v>
      </c>
      <c r="B102" s="17">
        <v>156.76909889616599</v>
      </c>
      <c r="C102" s="36">
        <v>142.83619727876223</v>
      </c>
      <c r="D102" s="36">
        <v>144.37034591531875</v>
      </c>
    </row>
    <row r="103" spans="1:4" x14ac:dyDescent="0.25">
      <c r="A103" s="4">
        <v>45444</v>
      </c>
      <c r="B103" s="17">
        <v>147.35712151974346</v>
      </c>
      <c r="C103" s="36">
        <v>143.71875184087116</v>
      </c>
      <c r="D103" s="36">
        <v>144.92087085994089</v>
      </c>
    </row>
    <row r="104" spans="1:4" x14ac:dyDescent="0.25">
      <c r="A104" s="4">
        <v>45474</v>
      </c>
      <c r="B104" s="17">
        <v>149.65170047837228</v>
      </c>
      <c r="C104" s="36">
        <v>147.28294331306196</v>
      </c>
      <c r="D104" s="36">
        <v>145.62950094758585</v>
      </c>
    </row>
    <row r="105" spans="1:4" x14ac:dyDescent="0.25">
      <c r="A105" s="4">
        <v>45505</v>
      </c>
      <c r="B105" s="17">
        <v>147.28124762344183</v>
      </c>
      <c r="C105" s="36">
        <v>147.77459845486339</v>
      </c>
      <c r="D105" s="36">
        <v>146.44979946004622</v>
      </c>
    </row>
    <row r="106" spans="1:4" x14ac:dyDescent="0.25">
      <c r="A106" s="4">
        <v>45536</v>
      </c>
      <c r="B106" s="17">
        <v>144.79670189548858</v>
      </c>
      <c r="C106" s="36">
        <v>147.82665266807604</v>
      </c>
      <c r="D106" s="36">
        <v>147.32966884077069</v>
      </c>
    </row>
    <row r="107" spans="1:4" x14ac:dyDescent="0.25">
      <c r="A107" s="4">
        <v>45566</v>
      </c>
      <c r="B107" s="17">
        <v>148.10395140212873</v>
      </c>
      <c r="C107" s="36">
        <v>149.04702210828046</v>
      </c>
      <c r="D107" s="36">
        <v>148.21264599445087</v>
      </c>
    </row>
    <row r="108" spans="1:4" x14ac:dyDescent="0.25">
      <c r="A108" s="4">
        <v>45597</v>
      </c>
      <c r="B108" s="17">
        <v>148.17873351747122</v>
      </c>
      <c r="C108" s="36">
        <v>150.80205892011239</v>
      </c>
      <c r="D108" s="36">
        <v>149.04951531608577</v>
      </c>
    </row>
    <row r="109" spans="1:4" x14ac:dyDescent="0.25">
      <c r="A109" s="4">
        <v>45627</v>
      </c>
      <c r="B109" s="17">
        <v>148.67760152837457</v>
      </c>
      <c r="C109" s="36">
        <v>151.4852747475974</v>
      </c>
      <c r="D109" s="36">
        <v>149.80399714657489</v>
      </c>
    </row>
    <row r="110" spans="1:4" x14ac:dyDescent="0.25">
      <c r="A110" s="4">
        <v>45658</v>
      </c>
      <c r="B110" s="17">
        <v>146.4966364505224</v>
      </c>
      <c r="C110" s="36">
        <v>151.93093339871064</v>
      </c>
      <c r="D110" s="36">
        <v>150.45108861213475</v>
      </c>
    </row>
    <row r="111" spans="1:4" x14ac:dyDescent="0.25">
      <c r="A111" s="4">
        <v>45689</v>
      </c>
      <c r="B111" s="17">
        <v>141.40459964053429</v>
      </c>
      <c r="C111" s="36">
        <v>153.54265438189159</v>
      </c>
      <c r="D111" s="36">
        <v>150.98034891323766</v>
      </c>
    </row>
    <row r="112" spans="1:4" x14ac:dyDescent="0.25">
      <c r="A112" s="4">
        <v>45717</v>
      </c>
      <c r="B112" s="17">
        <v>150.61015153616984</v>
      </c>
      <c r="C112" s="36">
        <v>149.34718181686975</v>
      </c>
      <c r="D112" s="36">
        <v>151.39565416407993</v>
      </c>
    </row>
    <row r="113" spans="1:4" x14ac:dyDescent="0.25">
      <c r="A113" s="4">
        <v>45748</v>
      </c>
      <c r="B113" s="17">
        <v>158.93929877299897</v>
      </c>
      <c r="C113" s="36">
        <v>152.38409803081473</v>
      </c>
      <c r="D113" s="36">
        <v>151.71206688080076</v>
      </c>
    </row>
    <row r="114" spans="1:4" x14ac:dyDescent="0.25">
      <c r="A114" s="4">
        <v>45778</v>
      </c>
      <c r="B114" s="17">
        <v>165.07464344720012</v>
      </c>
      <c r="C114" s="36">
        <v>152.27051882633819</v>
      </c>
      <c r="D114" s="36">
        <v>151.95539463227337</v>
      </c>
    </row>
    <row r="115" spans="1:4" x14ac:dyDescent="0.25">
      <c r="A115" s="4">
        <v>45809</v>
      </c>
      <c r="B115" s="17">
        <v>156.78890416942744</v>
      </c>
      <c r="C115" s="36">
        <v>151.54830195145809</v>
      </c>
      <c r="D115" s="36">
        <v>152.15179812916776</v>
      </c>
    </row>
    <row r="116" spans="1:4" x14ac:dyDescent="0.25">
      <c r="A116" s="4">
        <v>45839</v>
      </c>
      <c r="B116" s="17">
        <v>153.77022153385636</v>
      </c>
      <c r="C116" s="36">
        <v>151.29330094897705</v>
      </c>
      <c r="D116" s="36">
        <v>152.32498289774358</v>
      </c>
    </row>
    <row r="117" spans="1:4" x14ac:dyDescent="0.25">
      <c r="A117" s="4">
        <v>45870</v>
      </c>
      <c r="B117" s="17">
        <v>150.37579448728511</v>
      </c>
      <c r="C117" s="36">
        <v>152.17594381036591</v>
      </c>
      <c r="D117" s="36">
        <v>152.49533315689828</v>
      </c>
    </row>
    <row r="118" spans="1:4" x14ac:dyDescent="0.25">
      <c r="A118" s="4">
        <v>45901</v>
      </c>
      <c r="B118" s="17">
        <v>151.70554766622169</v>
      </c>
      <c r="C118" s="36">
        <v>153.2777218239828</v>
      </c>
      <c r="D118" s="36">
        <v>152.67467660504377</v>
      </c>
    </row>
    <row r="119" spans="1:4" x14ac:dyDescent="0.25">
      <c r="A119" s="4">
        <v>45931</v>
      </c>
      <c r="B119" s="17">
        <v>152.83834864492212</v>
      </c>
      <c r="C119" s="36">
        <v>153.09073472926781</v>
      </c>
      <c r="D119" s="36">
        <v>152.86703212981183</v>
      </c>
    </row>
    <row r="120" spans="1:4" x14ac:dyDescent="0.25">
      <c r="A120" s="4">
        <v>45962</v>
      </c>
      <c r="B120" s="17">
        <v>147.97168634998309</v>
      </c>
      <c r="C120" s="36">
        <v>153.01278783725704</v>
      </c>
      <c r="D120" s="36">
        <v>153.07496727109654</v>
      </c>
    </row>
    <row r="121" spans="1:4" x14ac:dyDescent="0.25">
      <c r="A121" s="4">
        <v>45992</v>
      </c>
      <c r="B121" s="17">
        <v>153.84616590720057</v>
      </c>
      <c r="C121" s="36">
        <v>155.94782202617111</v>
      </c>
      <c r="D121" s="36">
        <v>153.30179867180632</v>
      </c>
    </row>
    <row r="122" spans="1:4" x14ac:dyDescent="0.25">
      <c r="A122" s="4">
        <v>46023</v>
      </c>
      <c r="B122" s="17">
        <v>149.429834187148</v>
      </c>
      <c r="C122" s="36">
        <v>156.3008707103094</v>
      </c>
      <c r="D122" s="36">
        <v>153.54792524515582</v>
      </c>
    </row>
    <row r="123" spans="1:4" x14ac:dyDescent="0.25">
      <c r="A123" s="4">
        <v>46054</v>
      </c>
      <c r="B123" s="17">
        <v>139.31163157262827</v>
      </c>
      <c r="C123" s="36">
        <v>152.46232518014887</v>
      </c>
      <c r="D123" s="36">
        <v>153.81146081015922</v>
      </c>
    </row>
    <row r="124" spans="1:4" x14ac:dyDescent="0.25">
      <c r="A124" s="4">
        <v>46082</v>
      </c>
      <c r="B124" s="17">
        <v>159.97685005773832</v>
      </c>
      <c r="C124" s="36">
        <v>156.73111231345317</v>
      </c>
      <c r="D124" s="36">
        <v>154.08801458161344</v>
      </c>
    </row>
    <row r="125" spans="1:4" x14ac:dyDescent="0.25">
      <c r="A125" s="4">
        <v>46113</v>
      </c>
      <c r="B125" s="17">
        <v>161.60721101015756</v>
      </c>
      <c r="C125" s="36">
        <v>154.33640201486921</v>
      </c>
      <c r="D125" s="36">
        <v>154.36994201063817</v>
      </c>
    </row>
    <row r="126" spans="1:4" x14ac:dyDescent="0.25">
      <c r="A126" s="4">
        <v>46143</v>
      </c>
      <c r="B126" s="40">
        <v>165.47141407640655</v>
      </c>
      <c r="C126" s="41">
        <v>153.62027214485033</v>
      </c>
      <c r="D126" s="41">
        <v>154.65561262723506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tabSelected="1" zoomScaleNormal="100" workbookViewId="0"/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1.7</v>
      </c>
      <c r="C2" s="20">
        <v>2.1</v>
      </c>
      <c r="D2" s="20">
        <v>1.9</v>
      </c>
      <c r="E2" s="20">
        <v>1.7</v>
      </c>
      <c r="F2" s="20">
        <v>1.8</v>
      </c>
      <c r="G2" s="20">
        <v>0.9</v>
      </c>
      <c r="H2" s="16">
        <v>1.8135346659637008</v>
      </c>
    </row>
    <row r="3" spans="1:8" x14ac:dyDescent="0.25">
      <c r="A3" s="15" t="s">
        <v>113</v>
      </c>
      <c r="B3" s="37">
        <v>0</v>
      </c>
      <c r="C3" s="20">
        <v>0.3</v>
      </c>
      <c r="D3" s="20">
        <v>0.2</v>
      </c>
      <c r="E3" s="20">
        <v>0.4</v>
      </c>
      <c r="F3" s="20">
        <v>-0.3</v>
      </c>
      <c r="G3" s="20">
        <v>0.7</v>
      </c>
      <c r="H3" s="16">
        <v>0.15020439665571761</v>
      </c>
    </row>
    <row r="4" spans="1:8" x14ac:dyDescent="0.25">
      <c r="A4" s="15" t="s">
        <v>114</v>
      </c>
      <c r="B4" s="37">
        <v>3.4</v>
      </c>
      <c r="C4" s="20">
        <v>1.7</v>
      </c>
      <c r="D4" s="20">
        <v>1.7</v>
      </c>
      <c r="E4" s="20">
        <v>2</v>
      </c>
      <c r="F4" s="20">
        <v>2.4</v>
      </c>
      <c r="G4" s="20">
        <v>1.4</v>
      </c>
      <c r="H4" s="16">
        <v>2.5358045496943538</v>
      </c>
    </row>
    <row r="5" spans="1:8" x14ac:dyDescent="0.25">
      <c r="A5" s="15" t="s">
        <v>115</v>
      </c>
      <c r="B5" s="37">
        <v>2.6</v>
      </c>
      <c r="C5" s="20">
        <v>2.1</v>
      </c>
      <c r="D5" s="20">
        <v>1.7</v>
      </c>
      <c r="E5" s="20">
        <v>1.4</v>
      </c>
      <c r="F5" s="20">
        <v>0</v>
      </c>
      <c r="G5" s="20">
        <v>2.2999999999999998</v>
      </c>
      <c r="H5" s="16">
        <v>2.1747538305427305</v>
      </c>
    </row>
    <row r="6" spans="1:8" x14ac:dyDescent="0.25">
      <c r="A6" s="15" t="s">
        <v>116</v>
      </c>
      <c r="B6" s="37">
        <v>7.4</v>
      </c>
      <c r="C6" s="20">
        <v>1.7</v>
      </c>
      <c r="D6" s="20">
        <v>1.3</v>
      </c>
      <c r="E6" s="20">
        <v>2.7</v>
      </c>
      <c r="F6" s="20">
        <v>-1.6</v>
      </c>
      <c r="G6" s="20">
        <v>-0.2</v>
      </c>
      <c r="H6" s="16">
        <v>4.0552087145800053</v>
      </c>
    </row>
    <row r="7" spans="1:8" x14ac:dyDescent="0.25">
      <c r="A7" s="15" t="s">
        <v>117</v>
      </c>
      <c r="B7" s="37">
        <v>9</v>
      </c>
      <c r="C7" s="20">
        <v>6.4</v>
      </c>
      <c r="D7" s="20">
        <v>6.7</v>
      </c>
      <c r="E7" s="20">
        <v>8.1</v>
      </c>
      <c r="F7" s="20">
        <v>4.4000000000000004</v>
      </c>
      <c r="G7" s="20">
        <v>8.3000000000000007</v>
      </c>
      <c r="H7" s="16">
        <v>7.6784047340026973</v>
      </c>
    </row>
    <row r="8" spans="1:8" x14ac:dyDescent="0.25">
      <c r="A8" s="15" t="s">
        <v>118</v>
      </c>
      <c r="B8" s="37">
        <v>2.1</v>
      </c>
      <c r="C8" s="20">
        <v>1</v>
      </c>
      <c r="D8" s="20">
        <v>1.8</v>
      </c>
      <c r="E8" s="20">
        <v>1.4</v>
      </c>
      <c r="F8" s="20">
        <v>1.7</v>
      </c>
      <c r="G8" s="20">
        <v>1.7</v>
      </c>
      <c r="H8" s="16">
        <v>1.6333603985065226</v>
      </c>
    </row>
    <row r="9" spans="1:8" x14ac:dyDescent="0.25">
      <c r="A9" s="15" t="s">
        <v>119</v>
      </c>
      <c r="B9" s="37">
        <v>0</v>
      </c>
      <c r="C9" s="20">
        <v>0.1</v>
      </c>
      <c r="D9" s="20">
        <v>0.8</v>
      </c>
      <c r="E9" s="20">
        <v>-0.6</v>
      </c>
      <c r="F9" s="20">
        <v>-2.6</v>
      </c>
      <c r="G9" s="20">
        <v>-0.8</v>
      </c>
      <c r="H9" s="16">
        <v>-0.15434022477673892</v>
      </c>
    </row>
    <row r="10" spans="1:8" x14ac:dyDescent="0.25">
      <c r="A10" s="15" t="s">
        <v>120</v>
      </c>
      <c r="B10" s="37">
        <v>2.6</v>
      </c>
      <c r="C10" s="20">
        <v>2.5</v>
      </c>
      <c r="D10" s="20">
        <v>1.7</v>
      </c>
      <c r="E10" s="20">
        <v>1.8</v>
      </c>
      <c r="F10" s="20">
        <v>2.2999999999999998</v>
      </c>
      <c r="G10" s="20">
        <v>2.6</v>
      </c>
      <c r="H10" s="16">
        <v>2.4454493931863386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2026-08-15T15:30:31Z</dcterms:modified>
  <dc:language>es-AR</dc:language>
</cp:coreProperties>
</file>