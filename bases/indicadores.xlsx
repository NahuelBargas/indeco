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183DEE59-9929-4CDF-AC5A-294038B79C2D}" xr6:coauthVersionLast="47" xr6:coauthVersionMax="47" xr10:uidLastSave="{00000000-0000-0000-0000-000000000000}"/>
  <bookViews>
    <workbookView xWindow="-120" yWindow="-120" windowWidth="19440" windowHeight="11040" tabRatio="500" firstSheet="7" activeTab="11" xr2:uid="{00000000-000D-0000-FFFF-FFFF00000000}"/>
  </bookViews>
  <sheets>
    <sheet name="IPC-Seriemensual" sheetId="1" r:id="rId1"/>
    <sheet name="IPC-DIC-Div" sheetId="2" r:id="rId2"/>
    <sheet name="IPC-Interanual" sheetId="3" r:id="rId3"/>
    <sheet name="Producto" sheetId="4" r:id="rId4"/>
    <sheet name="Pobreza-Aglo" sheetId="5" r:id="rId5"/>
    <sheet name="Pobreza regiones" sheetId="6" r:id="rId6"/>
    <sheet name="BC por zonas" sheetId="7" r:id="rId7"/>
    <sheet name="Expo-ICA" sheetId="11" r:id="rId8"/>
    <sheet name="Impo-ICA" sheetId="12" r:id="rId9"/>
    <sheet name="VAB" sheetId="8" r:id="rId10"/>
    <sheet name="EMAE" sheetId="9" r:id="rId11"/>
    <sheet name="Aperturas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" i="7"/>
</calcChain>
</file>

<file path=xl/sharedStrings.xml><?xml version="1.0" encoding="utf-8"?>
<sst xmlns="http://schemas.openxmlformats.org/spreadsheetml/2006/main" count="347" uniqueCount="225">
  <si>
    <t>Período</t>
  </si>
  <si>
    <t>IPC General</t>
  </si>
  <si>
    <t>Estacional</t>
  </si>
  <si>
    <t xml:space="preserve">Nucleo </t>
  </si>
  <si>
    <t>Regulados</t>
  </si>
  <si>
    <t>Nacional</t>
  </si>
  <si>
    <t>GBA</t>
  </si>
  <si>
    <t xml:space="preserve">Pampeana </t>
  </si>
  <si>
    <t>Noreste</t>
  </si>
  <si>
    <t>Noroeste</t>
  </si>
  <si>
    <t>Cuyo</t>
  </si>
  <si>
    <t>Patagonia</t>
  </si>
  <si>
    <t>Nivel General</t>
  </si>
  <si>
    <t>Alimentos y bebidas no alcohólicas</t>
  </si>
  <si>
    <t>Bebidas alcohólicas y tabaco</t>
  </si>
  <si>
    <t>Prendas de vestir y calzado</t>
  </si>
  <si>
    <t>Vivienda, agua, electricidad y otros combustibles</t>
  </si>
  <si>
    <t>Equipamiento y mantenimiento del hogar</t>
  </si>
  <si>
    <t>Salud</t>
  </si>
  <si>
    <t>Transporte</t>
  </si>
  <si>
    <t>Comunicaciones</t>
  </si>
  <si>
    <t>Recreación y cultura</t>
  </si>
  <si>
    <t>Educación</t>
  </si>
  <si>
    <t>Restaurantes y hoteles</t>
  </si>
  <si>
    <t>Bienes y servicios varios</t>
  </si>
  <si>
    <t>Año</t>
  </si>
  <si>
    <t>Trimestre</t>
  </si>
  <si>
    <t>PIB DESEST</t>
  </si>
  <si>
    <t>PBI</t>
  </si>
  <si>
    <t>I</t>
  </si>
  <si>
    <t>II</t>
  </si>
  <si>
    <t>III</t>
  </si>
  <si>
    <t>IV</t>
  </si>
  <si>
    <t>Grupo</t>
  </si>
  <si>
    <t>Pobreza</t>
  </si>
  <si>
    <t>Indigencia</t>
  </si>
  <si>
    <t>Hogares</t>
  </si>
  <si>
    <t>Personas</t>
  </si>
  <si>
    <t>Total  Aglomerados</t>
  </si>
  <si>
    <t>Ciudad Autónoma de Buenos Aires</t>
  </si>
  <si>
    <t>Partidos del GBA</t>
  </si>
  <si>
    <t>Gran San Luis</t>
  </si>
  <si>
    <t>Corrientes</t>
  </si>
  <si>
    <t>Formosa</t>
  </si>
  <si>
    <t>Posadas</t>
  </si>
  <si>
    <t>Gran Catamarca</t>
  </si>
  <si>
    <t>Gran Tucumán - Tafí Viejo</t>
  </si>
  <si>
    <t>Jujuy - Palpalá</t>
  </si>
  <si>
    <t>La Rioja</t>
  </si>
  <si>
    <t>Salta</t>
  </si>
  <si>
    <t>Bahía Blanca - Cerri</t>
  </si>
  <si>
    <t>Gran Córdoba</t>
  </si>
  <si>
    <t>Gran La Plata</t>
  </si>
  <si>
    <t>Gran Rosario</t>
  </si>
  <si>
    <t>Gran Santa Fe</t>
  </si>
  <si>
    <t xml:space="preserve">Mar del Plata </t>
  </si>
  <si>
    <t>Río Cuarto</t>
  </si>
  <si>
    <t>Santa Rosa - Toay</t>
  </si>
  <si>
    <t>Comodoro Rivadavia - Rada Tilly</t>
  </si>
  <si>
    <t>Río Gallegos</t>
  </si>
  <si>
    <t>Ushuaia - Río Grande</t>
  </si>
  <si>
    <t>Viedma - Carmen de Patagones</t>
  </si>
  <si>
    <t>Total país</t>
  </si>
  <si>
    <t>Gran Buenos Aires</t>
  </si>
  <si>
    <t>Pampeana</t>
  </si>
  <si>
    <t>Patagónica</t>
  </si>
  <si>
    <t>Nombre</t>
  </si>
  <si>
    <t>Expo</t>
  </si>
  <si>
    <t>Impo</t>
  </si>
  <si>
    <t>Saldo</t>
  </si>
  <si>
    <t>Mercosur</t>
  </si>
  <si>
    <t>Chile</t>
  </si>
  <si>
    <t>Resto de ALADI</t>
  </si>
  <si>
    <t>ASEAN</t>
  </si>
  <si>
    <t>China</t>
  </si>
  <si>
    <t>India</t>
  </si>
  <si>
    <t>Medio Oriente</t>
  </si>
  <si>
    <t>Magreb y Egipto</t>
  </si>
  <si>
    <t>SACU</t>
  </si>
  <si>
    <t>Oceanía</t>
  </si>
  <si>
    <t>Resto del mundo</t>
  </si>
  <si>
    <t xml:space="preserve">Nombre </t>
  </si>
  <si>
    <t>Valor</t>
  </si>
  <si>
    <t>Variación anual</t>
  </si>
  <si>
    <t>Valor agregado bruto a precios básicos</t>
  </si>
  <si>
    <t xml:space="preserve">Agricultura, ganadería, caza y silvicultura </t>
  </si>
  <si>
    <t>Pesca</t>
  </si>
  <si>
    <t>Explotación de minas y canteras</t>
  </si>
  <si>
    <t>Industria manufacturera</t>
  </si>
  <si>
    <t>Electricidad, gas y agua</t>
  </si>
  <si>
    <t>Construcción</t>
  </si>
  <si>
    <t>Comercio mayorista, minorista y reparaciones</t>
  </si>
  <si>
    <t>Hoteles y restaurantes</t>
  </si>
  <si>
    <t>Transporte y comunicaciones</t>
  </si>
  <si>
    <t>Intermediación financiera</t>
  </si>
  <si>
    <t>Actividades inmobiliarias, empresariales y de alquiler</t>
  </si>
  <si>
    <t>Administración pública y defensa, seguridad social obligatoria</t>
  </si>
  <si>
    <t>Enseñanza</t>
  </si>
  <si>
    <t>Servicios sociales y de salud</t>
  </si>
  <si>
    <t>Otras actividades de servicios comunitarias, sociales y personales</t>
  </si>
  <si>
    <t>Hogares privados con servicio doméstico</t>
  </si>
  <si>
    <t>Fecha</t>
  </si>
  <si>
    <t>Original</t>
  </si>
  <si>
    <t xml:space="preserve"> Desestacionalizada</t>
  </si>
  <si>
    <t>Tendencia_Ciclo</t>
  </si>
  <si>
    <t>Aperturas</t>
  </si>
  <si>
    <t>PAMPEANA</t>
  </si>
  <si>
    <t>NORESTE</t>
  </si>
  <si>
    <t>NOROESTE</t>
  </si>
  <si>
    <t>CUYO</t>
  </si>
  <si>
    <t>PATAGONIA</t>
  </si>
  <si>
    <t>NACIONAL</t>
  </si>
  <si>
    <t>Pan y cereales</t>
  </si>
  <si>
    <t>Carnes y derivados</t>
  </si>
  <si>
    <t>Leche, productos lácteos y huevos</t>
  </si>
  <si>
    <t>Aceites, grasas y manteca</t>
  </si>
  <si>
    <t>Frutas</t>
  </si>
  <si>
    <t>Verduras, tubérculos y legumbres</t>
  </si>
  <si>
    <t>Azúcar, dulces, chocolate, golosinas, etc.</t>
  </si>
  <si>
    <t>Café, té, yerba y cacao</t>
  </si>
  <si>
    <t>Aguas minerales, bebidas gaseosas y jugos</t>
  </si>
  <si>
    <t>Animales vivos</t>
  </si>
  <si>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</si>
  <si>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</si>
  <si>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</si>
  <si>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</si>
  <si>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</si>
  <si>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</si>
  <si>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Tabaco sin elaborar</t>
  </si>
  <si>
    <t>Lanas sucias</t>
  </si>
  <si>
    <t>Fibras de algodón</t>
  </si>
  <si>
    <t>Minerales metalíferos, escorias y cenizas</t>
  </si>
  <si>
    <t>Resto de productos primarios</t>
  </si>
  <si>
    <t>Carnes y sus preparados</t>
  </si>
  <si>
    <t>Pescados y mariscos elaborados</t>
  </si>
  <si>
    <t>Productos lácteos</t>
  </si>
  <si>
    <t>Otros productos de origen animal</t>
  </si>
  <si>
    <t>Frutas secas o procesadas</t>
  </si>
  <si>
    <t>Café, té, yerba mate y especias</t>
  </si>
  <si>
    <t>Productos de molinería y sus preparaciones</t>
  </si>
  <si>
    <t>Grasas y aceites</t>
  </si>
  <si>
    <t>Azúcar, cacao y artículos de confitería</t>
  </si>
  <si>
    <t>Preparados de hortalizas, legumbres y frutas</t>
  </si>
  <si>
    <t>Bebidas, líquidos alcohólicos y vinagre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</si>
  <si>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</si>
  <si>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</si>
  <si>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</si>
  <si>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</si>
  <si>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</si>
  <si>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Productos químicos y conexos</t>
  </si>
  <si>
    <t>Materias plásticas y sus manufacturas</t>
  </si>
  <si>
    <t>Caucho y sus manufacturas</t>
  </si>
  <si>
    <t>Manufacturas de cuero, marroquinería, etcétera</t>
  </si>
  <si>
    <t>Papel, cartón, impresos y publicaciones</t>
  </si>
  <si>
    <t>Textiles y confecciones</t>
  </si>
  <si>
    <t>Calzado y sus partes componentes</t>
  </si>
  <si>
    <t>Manufacturas de piedra, yeso, vidrio, etcétera</t>
  </si>
  <si>
    <t>Piedras, metales preciosos y sus manufacturas; monedas</t>
  </si>
  <si>
    <t>Metales comunes y sus manufacturas</t>
  </si>
  <si>
    <t>Máquinas y aparatos, material eléctrico</t>
  </si>
  <si>
    <t>Material de transporte terrestre</t>
  </si>
  <si>
    <t>Vehículos de navegación aérea, marítima y fluvial</t>
  </si>
  <si>
    <t>Resto de MOI</t>
  </si>
  <si>
    <t>Petróleo crudo</t>
  </si>
  <si>
    <t>Carburantes</t>
  </si>
  <si>
    <t>Grasas y aceites lubricantes</t>
  </si>
  <si>
    <t>Gas de petróleo, otros hidrocarburos gaseosos y energía eléctrica</t>
  </si>
  <si>
    <t xml:space="preserve">Resto de combustibles </t>
  </si>
  <si>
    <t>Productos primarios (PP)</t>
  </si>
  <si>
    <t>Manufacturas de origen agropecuario (MOA)</t>
  </si>
  <si>
    <t>Manufacturas de origen industrial (MOI)</t>
  </si>
  <si>
    <t>Combustibles y energía (CyE)</t>
  </si>
  <si>
    <t>Total</t>
  </si>
  <si>
    <t>Resto</t>
  </si>
  <si>
    <t>Concepto</t>
  </si>
  <si>
    <t xml:space="preserve">USMCA </t>
  </si>
  <si>
    <t xml:space="preserve">Unión Europea </t>
  </si>
  <si>
    <t>Total general</t>
  </si>
  <si>
    <t xml:space="preserve">   Bienes de capital (BK)</t>
  </si>
  <si>
    <t xml:space="preserve">      Bienes de capital excluido equipos de transporte</t>
  </si>
  <si>
    <t xml:space="preserve">      Computadoras y Telefonos</t>
  </si>
  <si>
    <t xml:space="preserve">      Equipos de transporte industriales</t>
  </si>
  <si>
    <t xml:space="preserve">   Bienes intermedios (BI)</t>
  </si>
  <si>
    <t xml:space="preserve">      Alimentos y bebidas basicos fundamentalmente para la industria</t>
  </si>
  <si>
    <t xml:space="preserve">      Alimentos y bebidas elaborados fundalmentalmente para la industria</t>
  </si>
  <si>
    <t xml:space="preserve">      Suministros industriales basicos no especificados en otras partidas</t>
  </si>
  <si>
    <t xml:space="preserve">      Suministros industriales elaborados no especificados en otras partidas</t>
  </si>
  <si>
    <t xml:space="preserve">      Medicamentos</t>
  </si>
  <si>
    <t xml:space="preserve">   Combustibles y lubricantes (CyL)</t>
  </si>
  <si>
    <t xml:space="preserve">      Combustibles y lubricantes basicos</t>
  </si>
  <si>
    <t xml:space="preserve">      Combustibles y lubricantes elaborados</t>
  </si>
  <si>
    <t xml:space="preserve">   Piezas y accesorios para bienes de capital (PyA)</t>
  </si>
  <si>
    <t xml:space="preserve">      Piezas y accesorios para bienes de capital</t>
  </si>
  <si>
    <t xml:space="preserve">      Partes y piezas para computadoras y telefonos</t>
  </si>
  <si>
    <t xml:space="preserve">      Piezas y accesorios para equipos de transporte</t>
  </si>
  <si>
    <t xml:space="preserve">   Bienes de consumo (BC)</t>
  </si>
  <si>
    <t xml:space="preserve">      Alimentos y bebidas basicos fundalmentalmente para el hogar</t>
  </si>
  <si>
    <t xml:space="preserve">      Alimentos y bebidas elaborados fundalmentalmente para el hogar</t>
  </si>
  <si>
    <t xml:space="preserve">      Equipos de transporte no industriales</t>
  </si>
  <si>
    <t xml:space="preserve">      Articulos de consumo duraderos no especificados en otra partida</t>
  </si>
  <si>
    <t xml:space="preserve">      Articulos de consumo semiduraderos no especificados en otra partida</t>
  </si>
  <si>
    <t xml:space="preserve">      Articulos de consumo no duraderos no especificados en otra partida</t>
  </si>
  <si>
    <t xml:space="preserve">   Vehículos automotores de pasajeros (VA)</t>
  </si>
  <si>
    <t>Brasil</t>
  </si>
  <si>
    <t>Perú</t>
  </si>
  <si>
    <t>Estados Unidos</t>
  </si>
  <si>
    <t>Viet Nam</t>
  </si>
  <si>
    <t>Indonesia</t>
  </si>
  <si>
    <t>Paraguay</t>
  </si>
  <si>
    <t>Uruguay</t>
  </si>
  <si>
    <t>Malasia</t>
  </si>
  <si>
    <t>Tailandia</t>
  </si>
  <si>
    <t xml:space="preserve"> Alemania</t>
  </si>
  <si>
    <t xml:space="preserve"> España</t>
  </si>
  <si>
    <t xml:space="preserve"> Italia</t>
  </si>
  <si>
    <t xml:space="preserve"> Países Bajos</t>
  </si>
  <si>
    <t>Gran Mendoza</t>
  </si>
  <si>
    <t>Gran San Juan</t>
  </si>
  <si>
    <t>Gran Resistencia</t>
  </si>
  <si>
    <t>Santiago del Estero - La Banda</t>
  </si>
  <si>
    <t>Concordia</t>
  </si>
  <si>
    <t>Gran Paraná</t>
  </si>
  <si>
    <t>San Nicolás - Villa Constitución</t>
  </si>
  <si>
    <t>Neuquén - Plottier</t>
  </si>
  <si>
    <t>Rawson - Trelew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</si>
</sst>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/mm/yyyy"/>
    <numFmt numFmtId="165" formatCode="0.0"/>
    <numFmt numFmtId="166" formatCode="_ * #,##0.00_ ;_ * \-#,##0.00_ ;_ * &quot;-&quot;??_ ;_ @_ "/>
    <numFmt numFmtId="167" formatCode="_ [$€-2]\ * #,##0.00_ ;_ [$€-2]\ * \-#,##0.00_ ;_ [$€-2]\ * &quot;-&quot;??_ "/>
    <numFmt numFmtId="168" formatCode="0.0_ ;\-0.0\ "/>
    <numFmt numFmtId="169" formatCode="#,##0_ ;\-#,##0\ "/>
  </numFmts>
  <fonts count="1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  <scheme val="minor"/>
    </font>
    <font>
      <b/>
      <sz val="8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3" fillId="0" borderId="0"/>
    <xf numFmtId="9" fontId="1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54">
    <xf numFmtId="0" fontId="0" fillId="0" borderId="0" xfId="0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64" fontId="0" fillId="0" borderId="0" xfId="0" applyNumberFormat="1"/>
    <xf numFmtId="165" fontId="4" fillId="0" borderId="0" xfId="0" applyNumberFormat="1" applyFont="1"/>
    <xf numFmtId="165" fontId="0" fillId="0" borderId="0" xfId="0" applyNumberFormat="1"/>
    <xf numFmtId="165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 indent="4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8" fillId="0" borderId="1" xfId="3" applyFont="1" applyBorder="1" applyAlignment="1">
      <alignment horizontal="left" wrapText="1"/>
    </xf>
    <xf numFmtId="0" fontId="5" fillId="0" borderId="0" xfId="0" applyFont="1" applyAlignment="1">
      <alignment horizontal="left" indent="5"/>
    </xf>
    <xf numFmtId="165" fontId="7" fillId="2" borderId="0" xfId="0" applyNumberFormat="1" applyFont="1" applyFill="1" applyAlignment="1">
      <alignment horizontal="center"/>
    </xf>
    <xf numFmtId="165" fontId="10" fillId="0" borderId="0" xfId="0" applyNumberFormat="1" applyFont="1"/>
    <xf numFmtId="165" fontId="11" fillId="0" borderId="0" xfId="7" applyNumberFormat="1" applyFont="1"/>
    <xf numFmtId="14" fontId="0" fillId="0" borderId="0" xfId="0" applyNumberFormat="1"/>
    <xf numFmtId="165" fontId="10" fillId="3" borderId="0" xfId="0" applyNumberFormat="1" applyFont="1" applyFill="1" applyAlignment="1">
      <alignment horizontal="center"/>
    </xf>
    <xf numFmtId="165" fontId="11" fillId="0" borderId="0" xfId="0" applyNumberFormat="1" applyFont="1"/>
    <xf numFmtId="0" fontId="11" fillId="0" borderId="0" xfId="0" applyFont="1"/>
    <xf numFmtId="0" fontId="11" fillId="0" borderId="1" xfId="0" applyFont="1" applyBorder="1"/>
    <xf numFmtId="0" fontId="12" fillId="0" borderId="0" xfId="0" applyFont="1"/>
    <xf numFmtId="49" fontId="12" fillId="0" borderId="0" xfId="0" quotePrefix="1" applyNumberFormat="1" applyFont="1" applyAlignment="1">
      <alignment horizontal="left" vertical="center"/>
    </xf>
    <xf numFmtId="0" fontId="12" fillId="0" borderId="1" xfId="0" applyFont="1" applyBorder="1"/>
    <xf numFmtId="3" fontId="0" fillId="0" borderId="0" xfId="0" applyNumberFormat="1"/>
    <xf numFmtId="0" fontId="15" fillId="0" borderId="0" xfId="0" applyFont="1"/>
    <xf numFmtId="3" fontId="14" fillId="0" borderId="0" xfId="0" applyNumberFormat="1" applyFont="1"/>
    <xf numFmtId="3" fontId="10" fillId="0" borderId="0" xfId="0" applyNumberFormat="1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indent="1"/>
    </xf>
    <xf numFmtId="0" fontId="14" fillId="0" borderId="0" xfId="0" applyFont="1"/>
    <xf numFmtId="0" fontId="10" fillId="0" borderId="0" xfId="0" applyFont="1"/>
    <xf numFmtId="0" fontId="14" fillId="0" borderId="1" xfId="0" applyFont="1" applyBorder="1"/>
    <xf numFmtId="168" fontId="10" fillId="0" borderId="0" xfId="0" applyNumberFormat="1" applyFont="1"/>
    <xf numFmtId="165" fontId="10" fillId="3" borderId="0" xfId="0" applyNumberFormat="1" applyFont="1" applyFill="1" applyAlignment="1">
      <alignment horizontal="center" vertical="center"/>
    </xf>
    <xf numFmtId="0" fontId="11" fillId="4" borderId="0" xfId="7" applyFont="1" applyFill="1" applyAlignment="1">
      <alignment horizontal="center"/>
    </xf>
    <xf numFmtId="3" fontId="14" fillId="5" borderId="0" xfId="7" applyNumberFormat="1" applyFont="1" applyFill="1"/>
    <xf numFmtId="165" fontId="10" fillId="0" borderId="1" xfId="0" applyNumberFormat="1" applyFont="1" applyBorder="1"/>
    <xf numFmtId="168" fontId="10" fillId="0" borderId="1" xfId="0" applyNumberFormat="1" applyFont="1" applyBorder="1"/>
    <xf numFmtId="3" fontId="10" fillId="5" borderId="0" xfId="0" applyNumberFormat="1" applyFont="1" applyFill="1"/>
    <xf numFmtId="169" fontId="12" fillId="5" borderId="0" xfId="10" applyNumberFormat="1" applyFont="1" applyFill="1" applyBorder="1" applyAlignment="1">
      <alignment horizontal="right"/>
    </xf>
    <xf numFmtId="169" fontId="11" fillId="5" borderId="0" xfId="10" applyNumberFormat="1" applyFont="1" applyFill="1" applyBorder="1" applyAlignment="1">
      <alignment horizontal="right"/>
    </xf>
    <xf numFmtId="169" fontId="12" fillId="5" borderId="1" xfId="10" applyNumberFormat="1" applyFont="1" applyFill="1" applyBorder="1" applyAlignment="1">
      <alignment horizontal="right"/>
    </xf>
    <xf numFmtId="3" fontId="14" fillId="5" borderId="0" xfId="0" applyNumberFormat="1" applyFont="1" applyFill="1"/>
    <xf numFmtId="3" fontId="14" fillId="5" borderId="1" xfId="0" applyNumberFormat="1" applyFont="1" applyFill="1" applyBorder="1"/>
    <xf numFmtId="3" fontId="12" fillId="5" borderId="0" xfId="0" applyNumberFormat="1" applyFont="1" applyFill="1" applyAlignment="1">
      <alignment horizontal="right"/>
    </xf>
    <xf numFmtId="3" fontId="11" fillId="5" borderId="0" xfId="0" applyNumberFormat="1" applyFont="1" applyFill="1" applyAlignment="1">
      <alignment horizontal="right"/>
    </xf>
    <xf numFmtId="3" fontId="11" fillId="5" borderId="1" xfId="0" quotePrefix="1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4" fillId="0" borderId="0" xfId="0" applyNumberFormat="1" applyFont="1"/>
    <xf numFmtId="0" fontId="10" fillId="0" borderId="0" xfId="0" applyNumberFormat="1" applyFont="1"/>
  </cellXfs>
  <cellStyles count="18">
    <cellStyle name="Euro" xfId="10" xr:uid="{8CA0DC4E-5AAC-43A0-AC51-59D877AC41AF}"/>
    <cellStyle name="Millares 2" xfId="6" xr:uid="{FE049F7D-2F48-430C-A6DF-C6EF2EAFCD09}"/>
    <cellStyle name="Millares 2 2" xfId="13" xr:uid="{45D9CBF5-D88B-4BD8-B720-E1404C6A191E}"/>
    <cellStyle name="Millares 3" xfId="12" xr:uid="{1444B4C2-1C12-4F33-9451-B1638FCC7FD4}"/>
    <cellStyle name="Normal" xfId="0" builtinId="0"/>
    <cellStyle name="Normal 2" xfId="1" xr:uid="{00000000-0005-0000-0000-000006000000}"/>
    <cellStyle name="Normal 2 2" xfId="7" xr:uid="{60FE958B-CBAD-47E9-996D-F35CFD516135}"/>
    <cellStyle name="Normal 2 3" xfId="11" xr:uid="{88183516-620F-482B-B2C8-F0EA9A56F3E7}"/>
    <cellStyle name="Normal 3" xfId="2" xr:uid="{00000000-0005-0000-0000-000007000000}"/>
    <cellStyle name="Normal 3 2" xfId="8" xr:uid="{E262F4F4-CC44-4288-BFD8-331F267AEC7D}"/>
    <cellStyle name="Normal 4" xfId="4" xr:uid="{96BF4BC7-C0CD-4025-9744-09E899D239DC}"/>
    <cellStyle name="Normal 5" xfId="5" xr:uid="{8C5D40F4-187A-432B-BF78-6331D592F0F7}"/>
    <cellStyle name="Normal_Hoja1" xfId="3" xr:uid="{00000000-0005-0000-0000-000008000000}"/>
    <cellStyle name="Porcentaje 2" xfId="9" xr:uid="{90BD4D26-776C-4BB5-A73A-76C4DABAE8A7}"/>
    <cellStyle name="Porcentaje 2 2" xfId="15" xr:uid="{711283D1-5B2B-4990-B19C-C8501947E71F}"/>
    <cellStyle name="Porcentaje 3" xfId="14" xr:uid="{31E6AE62-9132-42B7-8290-83DE9365B23C}"/>
    <cellStyle name="Porcentual 2" xfId="16" xr:uid="{3006DBC3-4227-4DD5-9D01-ADDE7FAA128C}"/>
    <cellStyle name="Porcentual 2 2" xfId="17" xr:uid="{26CEDE5B-0D9B-403A-8891-6DA7F09F3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zoomScaleNormal="100" workbookViewId="0">
      <pane ySplit="1" topLeftCell="A109" activePane="bottomLeft" state="frozen"/>
      <selection pane="bottomLeft" activeCell="C117" sqref="C117:E117"/>
    </sheetView>
  </sheetViews>
  <sheetFormatPr baseColWidth="10" defaultColWidth="10.7109375" defaultRowHeight="15" x14ac:dyDescent="0.25"/>
  <cols>
    <col min="2" max="2" width="11.42578125" style="1" customWidth="1"/>
  </cols>
  <sheetData>
    <row r="1" spans="1: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42736</v>
      </c>
      <c r="B2" s="5">
        <v>1.6</v>
      </c>
      <c r="C2" s="5">
        <v>1.7</v>
      </c>
      <c r="D2" s="5">
        <v>1.5</v>
      </c>
      <c r="E2" s="5">
        <v>2.2999999999999998</v>
      </c>
    </row>
    <row r="3" spans="1:5" x14ac:dyDescent="0.25">
      <c r="A3" s="4">
        <v>42767</v>
      </c>
      <c r="B3" s="5">
        <v>2.1</v>
      </c>
      <c r="C3" s="5">
        <v>0.6</v>
      </c>
      <c r="D3" s="5">
        <v>1.7</v>
      </c>
      <c r="E3" s="5">
        <v>4.3</v>
      </c>
    </row>
    <row r="4" spans="1:5" x14ac:dyDescent="0.25">
      <c r="A4" s="4">
        <v>42795</v>
      </c>
      <c r="B4" s="5">
        <v>2.4</v>
      </c>
      <c r="C4" s="5">
        <v>2.4</v>
      </c>
      <c r="D4" s="5">
        <v>1.9</v>
      </c>
      <c r="E4" s="5">
        <v>8.6999999999999993</v>
      </c>
    </row>
    <row r="5" spans="1:5" x14ac:dyDescent="0.25">
      <c r="A5" s="4">
        <v>42826</v>
      </c>
      <c r="B5" s="5">
        <v>2.7</v>
      </c>
      <c r="C5" s="5">
        <v>3.2</v>
      </c>
      <c r="D5" s="5">
        <v>2.1</v>
      </c>
      <c r="E5" s="5">
        <v>4.5</v>
      </c>
    </row>
    <row r="6" spans="1:5" x14ac:dyDescent="0.25">
      <c r="A6" s="4">
        <v>42856</v>
      </c>
      <c r="B6" s="5">
        <v>1.4</v>
      </c>
      <c r="C6" s="5">
        <v>0.8</v>
      </c>
      <c r="D6" s="5">
        <v>1.7</v>
      </c>
      <c r="E6" s="5">
        <v>1.6</v>
      </c>
    </row>
    <row r="7" spans="1:5" x14ac:dyDescent="0.25">
      <c r="A7" s="4">
        <v>42887</v>
      </c>
      <c r="B7" s="5">
        <v>1.2</v>
      </c>
      <c r="C7" s="5">
        <v>0.9</v>
      </c>
      <c r="D7" s="5">
        <v>1.3</v>
      </c>
      <c r="E7" s="5">
        <v>0.5</v>
      </c>
    </row>
    <row r="8" spans="1:5" x14ac:dyDescent="0.25">
      <c r="A8" s="4">
        <v>42917</v>
      </c>
      <c r="B8" s="5">
        <v>1.7</v>
      </c>
      <c r="C8" s="5">
        <v>0.5</v>
      </c>
      <c r="D8" s="5">
        <v>1.8</v>
      </c>
      <c r="E8" s="5">
        <v>2.1</v>
      </c>
    </row>
    <row r="9" spans="1:5" x14ac:dyDescent="0.25">
      <c r="A9" s="4">
        <v>42948</v>
      </c>
      <c r="B9" s="5">
        <v>1.4</v>
      </c>
      <c r="C9" s="5">
        <v>1.1000000000000001</v>
      </c>
      <c r="D9" s="5">
        <v>1.4</v>
      </c>
      <c r="E9" s="5">
        <v>1.4</v>
      </c>
    </row>
    <row r="10" spans="1:5" x14ac:dyDescent="0.25">
      <c r="A10" s="4">
        <v>42979</v>
      </c>
      <c r="B10" s="5">
        <v>1.9</v>
      </c>
      <c r="C10" s="5">
        <v>4</v>
      </c>
      <c r="D10" s="5">
        <v>1.6</v>
      </c>
      <c r="E10" s="5">
        <v>0.7</v>
      </c>
    </row>
    <row r="11" spans="1:5" x14ac:dyDescent="0.25">
      <c r="A11" s="4">
        <v>43009</v>
      </c>
      <c r="B11" s="5">
        <v>1.5</v>
      </c>
      <c r="C11" s="5">
        <v>2.4</v>
      </c>
      <c r="D11" s="5">
        <v>1.3</v>
      </c>
      <c r="E11" s="5">
        <v>1.8</v>
      </c>
    </row>
    <row r="12" spans="1:5" x14ac:dyDescent="0.25">
      <c r="A12" s="4">
        <v>43040</v>
      </c>
      <c r="B12" s="5">
        <v>1.4</v>
      </c>
      <c r="C12" s="5">
        <v>1.7</v>
      </c>
      <c r="D12" s="5">
        <v>1.3</v>
      </c>
      <c r="E12" s="5">
        <v>1.4</v>
      </c>
    </row>
    <row r="13" spans="1:5" x14ac:dyDescent="0.25">
      <c r="A13" s="4">
        <v>43070</v>
      </c>
      <c r="B13" s="5">
        <v>3.1</v>
      </c>
      <c r="C13" s="5">
        <v>0.3</v>
      </c>
      <c r="D13" s="5">
        <v>1.7</v>
      </c>
      <c r="E13" s="5">
        <v>6.9</v>
      </c>
    </row>
    <row r="14" spans="1:5" x14ac:dyDescent="0.25">
      <c r="A14" s="4">
        <v>43101</v>
      </c>
      <c r="B14" s="5">
        <v>1.8</v>
      </c>
      <c r="C14" s="5">
        <v>2.7</v>
      </c>
      <c r="D14" s="5">
        <v>1.5</v>
      </c>
      <c r="E14" s="5">
        <v>3</v>
      </c>
    </row>
    <row r="15" spans="1:5" x14ac:dyDescent="0.25">
      <c r="A15" s="4">
        <v>43132</v>
      </c>
      <c r="B15" s="5">
        <v>2.4</v>
      </c>
      <c r="C15" s="5">
        <v>-0.7</v>
      </c>
      <c r="D15" s="5">
        <v>2.1</v>
      </c>
      <c r="E15" s="5">
        <v>4.4000000000000004</v>
      </c>
    </row>
    <row r="16" spans="1:5" x14ac:dyDescent="0.25">
      <c r="A16" s="4">
        <v>43160</v>
      </c>
      <c r="B16" s="5">
        <v>2.2999999999999998</v>
      </c>
      <c r="C16" s="5">
        <v>1.6</v>
      </c>
      <c r="D16" s="5">
        <v>2.6</v>
      </c>
      <c r="E16" s="5">
        <v>4.5999999999999996</v>
      </c>
    </row>
    <row r="17" spans="1:5" x14ac:dyDescent="0.25">
      <c r="A17" s="4">
        <v>43191</v>
      </c>
      <c r="B17" s="5">
        <v>2.7</v>
      </c>
      <c r="C17" s="5">
        <v>0.9</v>
      </c>
      <c r="D17" s="5">
        <v>2.1</v>
      </c>
      <c r="E17" s="5">
        <v>6.1</v>
      </c>
    </row>
    <row r="18" spans="1:5" x14ac:dyDescent="0.25">
      <c r="A18" s="4">
        <v>43221</v>
      </c>
      <c r="B18" s="5">
        <v>2.1</v>
      </c>
      <c r="C18" s="5">
        <v>2.5</v>
      </c>
      <c r="D18" s="5">
        <v>2.7</v>
      </c>
      <c r="E18" s="5">
        <v>2.1</v>
      </c>
    </row>
    <row r="19" spans="1:5" x14ac:dyDescent="0.25">
      <c r="A19" s="4">
        <v>43252</v>
      </c>
      <c r="B19" s="5">
        <v>3.7</v>
      </c>
      <c r="C19" s="5">
        <v>3.4</v>
      </c>
      <c r="D19" s="5">
        <v>4.0999999999999996</v>
      </c>
      <c r="E19" s="5">
        <v>2.1</v>
      </c>
    </row>
    <row r="20" spans="1:5" x14ac:dyDescent="0.25">
      <c r="A20" s="4">
        <v>43282</v>
      </c>
      <c r="B20" s="5">
        <v>3.1</v>
      </c>
      <c r="C20" s="5">
        <v>3.8</v>
      </c>
      <c r="D20" s="5">
        <v>3.2</v>
      </c>
      <c r="E20" s="5">
        <v>2.4</v>
      </c>
    </row>
    <row r="21" spans="1:5" x14ac:dyDescent="0.25">
      <c r="A21" s="4">
        <v>43313</v>
      </c>
      <c r="B21" s="5">
        <v>3.9</v>
      </c>
      <c r="C21" s="5">
        <v>1.9</v>
      </c>
      <c r="D21" s="5">
        <v>3.4</v>
      </c>
      <c r="E21" s="5">
        <v>5.9</v>
      </c>
    </row>
    <row r="22" spans="1:5" x14ac:dyDescent="0.25">
      <c r="A22" s="4">
        <v>43344</v>
      </c>
      <c r="B22" s="5">
        <v>6.5</v>
      </c>
      <c r="C22" s="5">
        <v>4</v>
      </c>
      <c r="D22" s="5">
        <v>7.6</v>
      </c>
      <c r="E22" s="5">
        <v>4.2</v>
      </c>
    </row>
    <row r="23" spans="1:5" x14ac:dyDescent="0.25">
      <c r="A23" s="4">
        <v>43374</v>
      </c>
      <c r="B23" s="5">
        <v>5.4</v>
      </c>
      <c r="C23" s="5">
        <v>6.2</v>
      </c>
      <c r="D23" s="5">
        <v>4.5</v>
      </c>
      <c r="E23" s="5">
        <v>6</v>
      </c>
    </row>
    <row r="24" spans="1:5" x14ac:dyDescent="0.25">
      <c r="A24" s="4">
        <v>43405</v>
      </c>
      <c r="B24" s="5">
        <v>3.2</v>
      </c>
      <c r="C24" s="5">
        <v>3</v>
      </c>
      <c r="D24" s="5">
        <v>3.3</v>
      </c>
      <c r="E24" s="5">
        <v>2.8</v>
      </c>
    </row>
    <row r="25" spans="1:5" x14ac:dyDescent="0.25">
      <c r="A25" s="4">
        <v>43435</v>
      </c>
      <c r="B25" s="5">
        <v>2.6</v>
      </c>
      <c r="C25" s="5">
        <v>1.4</v>
      </c>
      <c r="D25" s="5">
        <v>2.7</v>
      </c>
      <c r="E25" s="5">
        <v>2.5</v>
      </c>
    </row>
    <row r="26" spans="1:5" x14ac:dyDescent="0.25">
      <c r="A26" s="4">
        <v>43466</v>
      </c>
      <c r="B26" s="5">
        <v>2.9</v>
      </c>
      <c r="C26" s="5">
        <v>1.1000000000000001</v>
      </c>
      <c r="D26" s="5">
        <v>3</v>
      </c>
      <c r="E26" s="5">
        <v>3.7</v>
      </c>
    </row>
    <row r="27" spans="1:5" x14ac:dyDescent="0.25">
      <c r="A27" s="4">
        <v>43497</v>
      </c>
      <c r="B27" s="5">
        <v>3.8</v>
      </c>
      <c r="C27" s="5">
        <v>1.9</v>
      </c>
      <c r="D27" s="5">
        <v>3.9</v>
      </c>
      <c r="E27" s="5">
        <v>3.9</v>
      </c>
    </row>
    <row r="28" spans="1:5" x14ac:dyDescent="0.25">
      <c r="A28" s="4">
        <v>43525</v>
      </c>
      <c r="B28" s="5">
        <v>4.7</v>
      </c>
      <c r="C28" s="5">
        <v>4.8</v>
      </c>
      <c r="D28" s="5">
        <v>4.5999999999999996</v>
      </c>
      <c r="E28" s="5">
        <v>5.5</v>
      </c>
    </row>
    <row r="29" spans="1:5" x14ac:dyDescent="0.25">
      <c r="A29" s="4">
        <v>43556</v>
      </c>
      <c r="B29" s="5">
        <v>3.4</v>
      </c>
      <c r="C29" s="5">
        <v>1.6</v>
      </c>
      <c r="D29" s="5">
        <v>3.8</v>
      </c>
      <c r="E29" s="5">
        <v>3.8</v>
      </c>
    </row>
    <row r="30" spans="1:5" x14ac:dyDescent="0.25">
      <c r="A30" s="4">
        <v>43586</v>
      </c>
      <c r="B30" s="5">
        <v>3.1</v>
      </c>
      <c r="C30" s="5">
        <v>0.6</v>
      </c>
      <c r="D30" s="5">
        <v>3.2</v>
      </c>
      <c r="E30" s="5">
        <v>7.7</v>
      </c>
    </row>
    <row r="31" spans="1:5" x14ac:dyDescent="0.25">
      <c r="A31" s="4">
        <v>43617</v>
      </c>
      <c r="B31" s="5">
        <v>2.7</v>
      </c>
      <c r="C31" s="5">
        <v>2.5</v>
      </c>
      <c r="D31" s="5">
        <v>2.7</v>
      </c>
      <c r="E31" s="5">
        <v>2.6</v>
      </c>
    </row>
    <row r="32" spans="1:5" x14ac:dyDescent="0.25">
      <c r="A32" s="4">
        <v>43647</v>
      </c>
      <c r="B32" s="5">
        <v>2.2000000000000002</v>
      </c>
      <c r="C32" s="5">
        <v>3.6</v>
      </c>
      <c r="D32" s="5">
        <v>2.1</v>
      </c>
      <c r="E32" s="5">
        <v>1.7</v>
      </c>
    </row>
    <row r="33" spans="1:5" x14ac:dyDescent="0.25">
      <c r="A33" s="4">
        <v>43678</v>
      </c>
      <c r="B33" s="6">
        <v>4</v>
      </c>
      <c r="C33" s="5">
        <v>3.9</v>
      </c>
      <c r="D33" s="5">
        <v>4.5999999999999996</v>
      </c>
      <c r="E33" s="5">
        <v>2.1</v>
      </c>
    </row>
    <row r="34" spans="1:5" x14ac:dyDescent="0.25">
      <c r="A34" s="4">
        <v>43709</v>
      </c>
      <c r="B34" s="6">
        <v>5.9</v>
      </c>
      <c r="C34" s="5">
        <v>8.5</v>
      </c>
      <c r="D34" s="5">
        <v>6.4</v>
      </c>
      <c r="E34" s="5">
        <v>3.4</v>
      </c>
    </row>
    <row r="35" spans="1:5" x14ac:dyDescent="0.25">
      <c r="A35" s="4">
        <v>43739</v>
      </c>
      <c r="B35" s="6">
        <v>3.3</v>
      </c>
      <c r="C35" s="6">
        <v>2.8</v>
      </c>
      <c r="D35" s="6">
        <v>3.8</v>
      </c>
      <c r="E35" s="6">
        <v>2</v>
      </c>
    </row>
    <row r="36" spans="1:5" x14ac:dyDescent="0.25">
      <c r="A36" s="4">
        <v>43770</v>
      </c>
      <c r="B36" s="6">
        <v>4.3</v>
      </c>
      <c r="C36" s="7">
        <v>7.3</v>
      </c>
      <c r="D36" s="7">
        <v>4</v>
      </c>
      <c r="E36" s="7">
        <v>3.8</v>
      </c>
    </row>
    <row r="37" spans="1:5" x14ac:dyDescent="0.25">
      <c r="A37" s="4">
        <v>43800</v>
      </c>
      <c r="B37" s="6">
        <v>3.7</v>
      </c>
      <c r="C37" s="7">
        <v>2.1</v>
      </c>
      <c r="D37" s="7">
        <v>3.7</v>
      </c>
      <c r="E37" s="7">
        <v>4.5999999999999996</v>
      </c>
    </row>
    <row r="38" spans="1:5" x14ac:dyDescent="0.25">
      <c r="A38" s="4">
        <v>43831</v>
      </c>
      <c r="B38" s="1">
        <v>2.2999999999999998</v>
      </c>
      <c r="C38" s="7">
        <v>3.6</v>
      </c>
      <c r="D38" s="7">
        <v>2.4</v>
      </c>
      <c r="E38" s="7">
        <v>1.1000000000000001</v>
      </c>
    </row>
    <row r="39" spans="1:5" x14ac:dyDescent="0.25">
      <c r="A39" s="4">
        <v>43862</v>
      </c>
      <c r="B39" s="1">
        <v>2</v>
      </c>
      <c r="C39">
        <v>2.5</v>
      </c>
      <c r="D39">
        <v>2.4</v>
      </c>
      <c r="E39">
        <v>0.7</v>
      </c>
    </row>
    <row r="40" spans="1:5" x14ac:dyDescent="0.25">
      <c r="A40" s="4">
        <v>43891</v>
      </c>
      <c r="B40" s="1">
        <v>3.3</v>
      </c>
      <c r="C40">
        <v>4.9000000000000004</v>
      </c>
      <c r="D40">
        <v>3.1</v>
      </c>
      <c r="E40">
        <v>3.3</v>
      </c>
    </row>
    <row r="41" spans="1:5" x14ac:dyDescent="0.25">
      <c r="A41" s="4">
        <v>43922</v>
      </c>
      <c r="B41" s="1">
        <v>1.5</v>
      </c>
      <c r="C41">
        <v>4.8</v>
      </c>
      <c r="D41">
        <v>1.7</v>
      </c>
      <c r="E41">
        <v>-0.7</v>
      </c>
    </row>
    <row r="42" spans="1:5" x14ac:dyDescent="0.25">
      <c r="A42" s="4">
        <v>43952</v>
      </c>
      <c r="B42" s="1">
        <v>1.5</v>
      </c>
      <c r="C42">
        <v>4.7</v>
      </c>
      <c r="D42">
        <v>1.6</v>
      </c>
      <c r="E42">
        <v>-0.1</v>
      </c>
    </row>
    <row r="43" spans="1:5" x14ac:dyDescent="0.25">
      <c r="A43" s="4">
        <v>43983</v>
      </c>
      <c r="B43" s="1">
        <v>2.2000000000000002</v>
      </c>
      <c r="C43">
        <v>4.8</v>
      </c>
      <c r="D43">
        <v>2.2999999999999998</v>
      </c>
      <c r="E43">
        <v>0.7</v>
      </c>
    </row>
    <row r="44" spans="1:5" x14ac:dyDescent="0.25">
      <c r="A44" s="4">
        <v>44013</v>
      </c>
      <c r="B44" s="1">
        <v>1.9</v>
      </c>
      <c r="C44">
        <v>0.9</v>
      </c>
      <c r="D44">
        <v>2.5</v>
      </c>
      <c r="E44">
        <v>0.5</v>
      </c>
    </row>
    <row r="45" spans="1:5" x14ac:dyDescent="0.25">
      <c r="A45" s="4">
        <v>44044</v>
      </c>
      <c r="B45" s="1">
        <v>2.7</v>
      </c>
      <c r="C45">
        <v>4</v>
      </c>
      <c r="D45">
        <v>3</v>
      </c>
      <c r="E45">
        <v>1</v>
      </c>
    </row>
    <row r="46" spans="1:5" x14ac:dyDescent="0.25">
      <c r="A46" s="4">
        <v>44075</v>
      </c>
      <c r="B46" s="1">
        <v>2.8</v>
      </c>
      <c r="C46">
        <v>7.9</v>
      </c>
      <c r="D46">
        <v>2.2999999999999998</v>
      </c>
      <c r="E46">
        <v>1.9</v>
      </c>
    </row>
    <row r="47" spans="1:5" x14ac:dyDescent="0.25">
      <c r="A47" s="4">
        <v>44105</v>
      </c>
      <c r="B47" s="1">
        <v>3.8</v>
      </c>
      <c r="C47">
        <v>9.6</v>
      </c>
      <c r="D47">
        <v>3.5</v>
      </c>
      <c r="E47">
        <v>1.5</v>
      </c>
    </row>
    <row r="48" spans="1:5" x14ac:dyDescent="0.25">
      <c r="A48" s="4">
        <v>44136</v>
      </c>
      <c r="B48" s="1">
        <v>3.2</v>
      </c>
      <c r="C48">
        <v>2</v>
      </c>
      <c r="D48">
        <v>3.9</v>
      </c>
      <c r="E48">
        <v>1.2</v>
      </c>
    </row>
    <row r="49" spans="1:8" x14ac:dyDescent="0.25">
      <c r="A49" s="4">
        <v>44166</v>
      </c>
      <c r="B49" s="1">
        <v>4</v>
      </c>
      <c r="C49">
        <v>2</v>
      </c>
      <c r="D49">
        <v>3.2</v>
      </c>
      <c r="E49">
        <v>4.3</v>
      </c>
    </row>
    <row r="50" spans="1:8" x14ac:dyDescent="0.25">
      <c r="A50" s="4">
        <v>44197</v>
      </c>
      <c r="B50" s="1">
        <v>4</v>
      </c>
      <c r="C50">
        <v>3</v>
      </c>
      <c r="D50">
        <v>3.9</v>
      </c>
      <c r="E50">
        <v>5.0999999999999996</v>
      </c>
    </row>
    <row r="51" spans="1:8" x14ac:dyDescent="0.25">
      <c r="A51" s="4">
        <v>44228</v>
      </c>
      <c r="B51" s="1">
        <v>3.6</v>
      </c>
      <c r="C51">
        <v>3.1</v>
      </c>
      <c r="D51">
        <v>4.0999999999999996</v>
      </c>
      <c r="E51">
        <v>2.2000000000000002</v>
      </c>
    </row>
    <row r="52" spans="1:8" x14ac:dyDescent="0.25">
      <c r="A52" s="4">
        <v>44256</v>
      </c>
      <c r="B52" s="1">
        <v>4.8</v>
      </c>
      <c r="C52">
        <v>7.2</v>
      </c>
      <c r="D52">
        <v>4.5</v>
      </c>
      <c r="E52">
        <v>4.5</v>
      </c>
      <c r="H52" s="18"/>
    </row>
    <row r="53" spans="1:8" x14ac:dyDescent="0.25">
      <c r="A53" s="4">
        <v>44287</v>
      </c>
      <c r="B53" s="1">
        <v>4.0999999999999996</v>
      </c>
      <c r="C53">
        <v>2.2000000000000002</v>
      </c>
      <c r="D53">
        <v>4.5999999999999996</v>
      </c>
      <c r="E53">
        <v>3.5</v>
      </c>
      <c r="H53" s="18"/>
    </row>
    <row r="54" spans="1:8" x14ac:dyDescent="0.25">
      <c r="A54" s="4">
        <v>44317</v>
      </c>
      <c r="B54" s="1">
        <v>3.3</v>
      </c>
      <c r="C54">
        <v>1.5</v>
      </c>
      <c r="D54">
        <v>3.5</v>
      </c>
      <c r="E54">
        <v>3.8</v>
      </c>
      <c r="H54" s="18"/>
    </row>
    <row r="55" spans="1:8" x14ac:dyDescent="0.25">
      <c r="A55" s="4">
        <v>44348</v>
      </c>
      <c r="B55" s="1">
        <v>3.2</v>
      </c>
      <c r="C55">
        <v>0.5</v>
      </c>
      <c r="D55">
        <v>3.6</v>
      </c>
      <c r="E55">
        <v>3.2</v>
      </c>
    </row>
    <row r="56" spans="1:8" x14ac:dyDescent="0.25">
      <c r="A56" s="4">
        <v>44378</v>
      </c>
      <c r="B56" s="1">
        <v>3</v>
      </c>
      <c r="C56">
        <v>4.9000000000000004</v>
      </c>
      <c r="D56">
        <v>3.1</v>
      </c>
      <c r="E56">
        <v>1.4</v>
      </c>
    </row>
    <row r="57" spans="1:8" x14ac:dyDescent="0.25">
      <c r="A57" s="4">
        <v>44409</v>
      </c>
      <c r="B57" s="1">
        <v>2.5</v>
      </c>
      <c r="C57">
        <v>0.6</v>
      </c>
      <c r="D57">
        <v>3.1</v>
      </c>
      <c r="E57">
        <v>1.1000000000000001</v>
      </c>
    </row>
    <row r="58" spans="1:8" x14ac:dyDescent="0.25">
      <c r="A58" s="4">
        <v>44440</v>
      </c>
      <c r="B58" s="1">
        <v>3.5</v>
      </c>
      <c r="C58">
        <v>6.4</v>
      </c>
      <c r="D58">
        <v>3.3</v>
      </c>
      <c r="E58">
        <v>3</v>
      </c>
    </row>
    <row r="59" spans="1:8" x14ac:dyDescent="0.25">
      <c r="A59" s="19">
        <v>44470</v>
      </c>
      <c r="B59" s="1">
        <v>3.5</v>
      </c>
      <c r="C59">
        <v>8.1</v>
      </c>
      <c r="D59">
        <v>3.2</v>
      </c>
      <c r="E59">
        <v>1.9</v>
      </c>
    </row>
    <row r="60" spans="1:8" x14ac:dyDescent="0.25">
      <c r="A60" s="4">
        <v>44501</v>
      </c>
      <c r="B60" s="1">
        <v>2.5</v>
      </c>
      <c r="C60">
        <v>0.5</v>
      </c>
      <c r="D60">
        <v>3.3</v>
      </c>
      <c r="E60">
        <v>1</v>
      </c>
    </row>
    <row r="61" spans="1:8" x14ac:dyDescent="0.25">
      <c r="A61" s="19">
        <v>44531</v>
      </c>
      <c r="B61" s="1">
        <v>3.8</v>
      </c>
      <c r="C61">
        <v>3.7</v>
      </c>
      <c r="D61">
        <v>4.4000000000000004</v>
      </c>
      <c r="E61">
        <v>1.7</v>
      </c>
    </row>
    <row r="62" spans="1:8" x14ac:dyDescent="0.25">
      <c r="A62" s="4">
        <v>44562</v>
      </c>
      <c r="B62" s="1">
        <v>3.9</v>
      </c>
      <c r="C62">
        <v>9</v>
      </c>
      <c r="D62">
        <v>3.3</v>
      </c>
      <c r="E62">
        <v>2.8</v>
      </c>
    </row>
    <row r="63" spans="1:8" x14ac:dyDescent="0.25">
      <c r="A63" s="19">
        <v>44593</v>
      </c>
      <c r="B63" s="1">
        <v>4.7</v>
      </c>
      <c r="C63">
        <v>8.4</v>
      </c>
      <c r="D63">
        <v>4.5</v>
      </c>
      <c r="E63">
        <v>3.1</v>
      </c>
    </row>
    <row r="64" spans="1:8" x14ac:dyDescent="0.25">
      <c r="A64" s="4">
        <v>44621</v>
      </c>
      <c r="B64" s="1">
        <v>6.7</v>
      </c>
      <c r="C64">
        <v>6.2</v>
      </c>
      <c r="D64">
        <v>6.4</v>
      </c>
      <c r="E64">
        <v>8.4</v>
      </c>
    </row>
    <row r="65" spans="1:5" x14ac:dyDescent="0.25">
      <c r="A65" s="19">
        <v>44652</v>
      </c>
      <c r="B65" s="1">
        <v>6</v>
      </c>
      <c r="C65">
        <v>5.4</v>
      </c>
      <c r="D65">
        <v>6.7</v>
      </c>
      <c r="E65">
        <v>3.9</v>
      </c>
    </row>
    <row r="66" spans="1:5" x14ac:dyDescent="0.25">
      <c r="A66" s="19">
        <v>44682</v>
      </c>
      <c r="B66" s="1">
        <v>5.0999999999999996</v>
      </c>
      <c r="C66">
        <v>3.4</v>
      </c>
      <c r="D66">
        <v>5.2</v>
      </c>
      <c r="E66">
        <v>5.7</v>
      </c>
    </row>
    <row r="67" spans="1:5" x14ac:dyDescent="0.25">
      <c r="A67" s="19">
        <v>44713</v>
      </c>
      <c r="B67" s="1">
        <v>5.3</v>
      </c>
      <c r="C67">
        <v>6.6</v>
      </c>
      <c r="D67">
        <v>5.0999999999999996</v>
      </c>
      <c r="E67">
        <v>5.3</v>
      </c>
    </row>
    <row r="68" spans="1:5" x14ac:dyDescent="0.25">
      <c r="A68" s="19">
        <v>44743</v>
      </c>
      <c r="B68" s="1">
        <v>7.4</v>
      </c>
      <c r="C68">
        <v>11.3</v>
      </c>
      <c r="D68">
        <v>7.3</v>
      </c>
      <c r="E68">
        <v>4.9000000000000004</v>
      </c>
    </row>
    <row r="69" spans="1:5" x14ac:dyDescent="0.25">
      <c r="A69" s="19">
        <v>44774</v>
      </c>
      <c r="B69" s="1">
        <v>7</v>
      </c>
      <c r="C69">
        <v>8.6999999999999993</v>
      </c>
      <c r="D69">
        <v>6.8</v>
      </c>
      <c r="E69">
        <v>6.3</v>
      </c>
    </row>
    <row r="70" spans="1:5" x14ac:dyDescent="0.25">
      <c r="A70" s="19">
        <v>44805</v>
      </c>
      <c r="B70" s="1">
        <v>6.2</v>
      </c>
      <c r="C70">
        <v>11.7</v>
      </c>
      <c r="D70">
        <v>5.5</v>
      </c>
      <c r="E70">
        <v>4.5</v>
      </c>
    </row>
    <row r="71" spans="1:5" x14ac:dyDescent="0.25">
      <c r="A71" s="19">
        <v>44835</v>
      </c>
      <c r="B71" s="1">
        <v>6.3</v>
      </c>
      <c r="C71">
        <v>9</v>
      </c>
      <c r="D71">
        <v>5.5</v>
      </c>
      <c r="E71">
        <v>7.4</v>
      </c>
    </row>
    <row r="72" spans="1:5" x14ac:dyDescent="0.25">
      <c r="A72" s="19">
        <v>44866</v>
      </c>
      <c r="B72" s="1">
        <v>4.9000000000000004</v>
      </c>
      <c r="C72">
        <v>4.0999999999999996</v>
      </c>
      <c r="D72">
        <v>4.8</v>
      </c>
      <c r="E72">
        <v>6.2</v>
      </c>
    </row>
    <row r="73" spans="1:5" x14ac:dyDescent="0.25">
      <c r="A73" s="19">
        <v>44896</v>
      </c>
      <c r="B73" s="1">
        <v>5.0999999999999996</v>
      </c>
      <c r="C73">
        <v>4.5999999999999996</v>
      </c>
      <c r="D73">
        <v>5.3</v>
      </c>
      <c r="E73">
        <v>5.0999999999999996</v>
      </c>
    </row>
    <row r="74" spans="1:5" x14ac:dyDescent="0.25">
      <c r="A74" s="19">
        <v>44927</v>
      </c>
      <c r="B74" s="1">
        <v>6</v>
      </c>
      <c r="C74">
        <v>7.9</v>
      </c>
      <c r="D74">
        <v>5.4</v>
      </c>
      <c r="E74">
        <v>7.1</v>
      </c>
    </row>
    <row r="75" spans="1:5" x14ac:dyDescent="0.25">
      <c r="A75" s="19">
        <v>44958</v>
      </c>
      <c r="B75" s="1">
        <v>6.6</v>
      </c>
      <c r="C75">
        <v>3.3</v>
      </c>
      <c r="D75">
        <v>7.7</v>
      </c>
      <c r="E75">
        <v>5.0999999999999996</v>
      </c>
    </row>
    <row r="76" spans="1:5" x14ac:dyDescent="0.25">
      <c r="A76" s="19">
        <v>44986</v>
      </c>
      <c r="B76" s="1">
        <v>7.7</v>
      </c>
      <c r="C76">
        <v>9.3000000000000007</v>
      </c>
      <c r="D76">
        <v>7.2</v>
      </c>
      <c r="E76">
        <v>8.3000000000000007</v>
      </c>
    </row>
    <row r="77" spans="1:5" x14ac:dyDescent="0.25">
      <c r="A77" s="19">
        <v>45017</v>
      </c>
      <c r="B77" s="1">
        <v>8.4</v>
      </c>
      <c r="C77" s="21">
        <v>12.6</v>
      </c>
      <c r="D77" s="21">
        <v>8.4</v>
      </c>
      <c r="E77" s="21">
        <v>4.9000000000000004</v>
      </c>
    </row>
    <row r="78" spans="1:5" x14ac:dyDescent="0.25">
      <c r="A78" s="19">
        <v>45047</v>
      </c>
      <c r="B78" s="1">
        <v>7.8</v>
      </c>
      <c r="C78" s="21">
        <v>6</v>
      </c>
      <c r="D78" s="21">
        <v>7.8</v>
      </c>
      <c r="E78" s="21">
        <v>9</v>
      </c>
    </row>
    <row r="79" spans="1:5" x14ac:dyDescent="0.25">
      <c r="A79" s="19">
        <v>45078</v>
      </c>
      <c r="B79" s="1">
        <v>6</v>
      </c>
      <c r="C79">
        <v>1.8</v>
      </c>
      <c r="D79">
        <v>6.5</v>
      </c>
      <c r="E79">
        <v>7.2</v>
      </c>
    </row>
    <row r="80" spans="1:5" x14ac:dyDescent="0.25">
      <c r="A80" s="19">
        <v>45108</v>
      </c>
      <c r="B80" s="1">
        <v>6.3</v>
      </c>
      <c r="C80">
        <v>5.0999999999999996</v>
      </c>
      <c r="D80">
        <v>6.5</v>
      </c>
      <c r="E80">
        <v>6.7</v>
      </c>
    </row>
    <row r="81" spans="1:5" x14ac:dyDescent="0.25">
      <c r="A81" s="19">
        <v>45139</v>
      </c>
      <c r="B81" s="1">
        <v>12.4</v>
      </c>
      <c r="C81">
        <v>10.7</v>
      </c>
      <c r="D81">
        <v>13.8</v>
      </c>
      <c r="E81">
        <v>8.3000000000000007</v>
      </c>
    </row>
    <row r="82" spans="1:5" x14ac:dyDescent="0.25">
      <c r="A82" s="19">
        <v>45170</v>
      </c>
      <c r="B82">
        <v>12.7</v>
      </c>
      <c r="C82">
        <v>14.7</v>
      </c>
      <c r="D82">
        <v>13.4</v>
      </c>
      <c r="E82">
        <v>8.3000000000000007</v>
      </c>
    </row>
    <row r="83" spans="1:5" x14ac:dyDescent="0.25">
      <c r="A83" s="19">
        <v>45200</v>
      </c>
      <c r="B83" s="1">
        <v>8.3000000000000007</v>
      </c>
      <c r="C83">
        <v>7.6</v>
      </c>
      <c r="D83">
        <v>8.8000000000000007</v>
      </c>
      <c r="E83">
        <v>6.6</v>
      </c>
    </row>
    <row r="84" spans="1:5" x14ac:dyDescent="0.25">
      <c r="A84" s="19">
        <v>45231</v>
      </c>
      <c r="B84" s="1">
        <v>12.8</v>
      </c>
      <c r="C84">
        <v>12.8</v>
      </c>
      <c r="D84">
        <v>13.4</v>
      </c>
      <c r="E84">
        <v>10.1</v>
      </c>
    </row>
    <row r="85" spans="1:5" x14ac:dyDescent="0.25">
      <c r="A85" s="19">
        <v>45261</v>
      </c>
      <c r="B85" s="1">
        <v>25.5</v>
      </c>
      <c r="C85" s="1">
        <v>16.2</v>
      </c>
      <c r="D85" s="1">
        <v>28.3</v>
      </c>
      <c r="E85" s="1">
        <v>20.7</v>
      </c>
    </row>
    <row r="86" spans="1:5" x14ac:dyDescent="0.25">
      <c r="A86" s="19">
        <v>45292</v>
      </c>
      <c r="B86" s="1">
        <v>20.6</v>
      </c>
      <c r="C86">
        <v>16.2</v>
      </c>
      <c r="D86">
        <v>20.2</v>
      </c>
      <c r="E86">
        <v>26.6</v>
      </c>
    </row>
    <row r="87" spans="1:5" x14ac:dyDescent="0.25">
      <c r="A87" s="19">
        <v>45323</v>
      </c>
      <c r="B87" s="1">
        <v>13.2</v>
      </c>
      <c r="C87" s="21">
        <v>8.6999999999999993</v>
      </c>
      <c r="D87" s="21">
        <v>12.3</v>
      </c>
      <c r="E87" s="21">
        <v>21.1</v>
      </c>
    </row>
    <row r="88" spans="1:5" x14ac:dyDescent="0.25">
      <c r="A88" s="19">
        <v>45352</v>
      </c>
      <c r="B88" s="1">
        <v>11</v>
      </c>
      <c r="C88">
        <v>11.1</v>
      </c>
      <c r="D88">
        <v>9.4</v>
      </c>
      <c r="E88">
        <v>18.100000000000001</v>
      </c>
    </row>
    <row r="89" spans="1:5" x14ac:dyDescent="0.25">
      <c r="A89" s="19">
        <v>45383</v>
      </c>
      <c r="B89" s="1">
        <v>8.8000000000000007</v>
      </c>
      <c r="C89">
        <v>9.9</v>
      </c>
      <c r="D89">
        <v>6.3</v>
      </c>
      <c r="E89">
        <v>18.399999999999999</v>
      </c>
    </row>
    <row r="90" spans="1:5" x14ac:dyDescent="0.25">
      <c r="A90" s="19">
        <v>45413</v>
      </c>
      <c r="B90" s="1">
        <v>4.2</v>
      </c>
      <c r="C90">
        <v>7.2</v>
      </c>
      <c r="D90">
        <v>3.7</v>
      </c>
      <c r="E90">
        <v>4</v>
      </c>
    </row>
    <row r="91" spans="1:5" x14ac:dyDescent="0.25">
      <c r="A91" s="19">
        <v>45444</v>
      </c>
      <c r="B91" s="1">
        <v>4.5999999999999996</v>
      </c>
      <c r="C91">
        <v>4.4000000000000004</v>
      </c>
      <c r="D91">
        <v>3.7</v>
      </c>
      <c r="E91">
        <v>8.1</v>
      </c>
    </row>
    <row r="92" spans="1:5" x14ac:dyDescent="0.25">
      <c r="A92" s="19">
        <v>45474</v>
      </c>
      <c r="B92" s="1">
        <v>4</v>
      </c>
      <c r="C92">
        <v>5.0999999999999996</v>
      </c>
      <c r="D92">
        <v>3.8</v>
      </c>
      <c r="E92">
        <v>4.3</v>
      </c>
    </row>
    <row r="93" spans="1:5" x14ac:dyDescent="0.25">
      <c r="A93" s="19">
        <v>45505</v>
      </c>
      <c r="B93" s="1">
        <v>4.2</v>
      </c>
      <c r="C93">
        <v>1.5</v>
      </c>
      <c r="D93">
        <v>4.0999999999999996</v>
      </c>
      <c r="E93">
        <v>5.9</v>
      </c>
    </row>
    <row r="94" spans="1:5" x14ac:dyDescent="0.25">
      <c r="A94" s="19">
        <v>45536</v>
      </c>
      <c r="B94" s="1">
        <v>3.5</v>
      </c>
      <c r="C94">
        <v>2.9</v>
      </c>
      <c r="D94">
        <v>3.3</v>
      </c>
      <c r="E94">
        <v>4.5</v>
      </c>
    </row>
    <row r="95" spans="1:5" x14ac:dyDescent="0.25">
      <c r="A95" s="19">
        <v>45566</v>
      </c>
      <c r="B95" s="1">
        <v>2.7</v>
      </c>
      <c r="C95">
        <v>1.4</v>
      </c>
      <c r="D95">
        <v>2.9</v>
      </c>
      <c r="E95">
        <v>2.7</v>
      </c>
    </row>
    <row r="96" spans="1:5" x14ac:dyDescent="0.25">
      <c r="A96" s="19">
        <v>45597</v>
      </c>
      <c r="B96" s="1">
        <v>2.4</v>
      </c>
      <c r="C96">
        <v>-1.2</v>
      </c>
      <c r="D96">
        <v>2.7</v>
      </c>
      <c r="E96">
        <v>3.5</v>
      </c>
    </row>
    <row r="97" spans="1:5" x14ac:dyDescent="0.25">
      <c r="A97" s="19">
        <v>45627</v>
      </c>
      <c r="B97" s="1">
        <v>2.7</v>
      </c>
      <c r="C97" s="1">
        <v>-1.4</v>
      </c>
      <c r="D97">
        <v>3.2</v>
      </c>
      <c r="E97">
        <v>3.4</v>
      </c>
    </row>
    <row r="98" spans="1:5" x14ac:dyDescent="0.25">
      <c r="A98" s="19">
        <v>45658</v>
      </c>
      <c r="B98" s="1">
        <v>2.2000000000000002</v>
      </c>
      <c r="C98" s="1">
        <v>0.4</v>
      </c>
      <c r="D98">
        <v>2.4</v>
      </c>
      <c r="E98">
        <v>2.6</v>
      </c>
    </row>
    <row r="99" spans="1:5" x14ac:dyDescent="0.25">
      <c r="A99" s="19">
        <v>45689</v>
      </c>
      <c r="B99" s="1">
        <v>2.4</v>
      </c>
      <c r="C99" s="1">
        <v>-0.8</v>
      </c>
      <c r="D99">
        <v>2.9</v>
      </c>
      <c r="E99">
        <v>2.2999999999999998</v>
      </c>
    </row>
    <row r="100" spans="1:5" x14ac:dyDescent="0.25">
      <c r="A100" s="19">
        <v>45717</v>
      </c>
      <c r="B100" s="1">
        <v>3.7</v>
      </c>
      <c r="C100" s="1">
        <v>8.4</v>
      </c>
      <c r="D100">
        <v>3.2</v>
      </c>
      <c r="E100">
        <v>3.2</v>
      </c>
    </row>
    <row r="101" spans="1:5" x14ac:dyDescent="0.25">
      <c r="A101" s="19">
        <v>45748</v>
      </c>
      <c r="B101" s="1">
        <v>2.8</v>
      </c>
      <c r="C101" s="1">
        <v>1.9</v>
      </c>
      <c r="D101">
        <v>3.2</v>
      </c>
      <c r="E101">
        <v>1.8</v>
      </c>
    </row>
    <row r="102" spans="1:5" x14ac:dyDescent="0.25">
      <c r="A102" s="19">
        <v>45778</v>
      </c>
      <c r="B102" s="1">
        <v>1.5</v>
      </c>
      <c r="C102">
        <v>-2.7</v>
      </c>
      <c r="D102">
        <v>2.2000000000000002</v>
      </c>
      <c r="E102">
        <v>1.3</v>
      </c>
    </row>
    <row r="103" spans="1:5" x14ac:dyDescent="0.25">
      <c r="A103" s="19">
        <v>45809</v>
      </c>
      <c r="B103" s="1">
        <v>1.6</v>
      </c>
      <c r="C103">
        <v>-0.2</v>
      </c>
      <c r="D103">
        <v>1.7</v>
      </c>
      <c r="E103">
        <v>2.2000000000000002</v>
      </c>
    </row>
    <row r="104" spans="1:5" x14ac:dyDescent="0.25">
      <c r="A104" s="19">
        <v>45839</v>
      </c>
      <c r="B104" s="1">
        <v>1.9</v>
      </c>
      <c r="C104" s="1">
        <v>4.0999999999999996</v>
      </c>
      <c r="D104">
        <v>1.5</v>
      </c>
      <c r="E104">
        <v>2.2999999999999998</v>
      </c>
    </row>
    <row r="105" spans="1:5" x14ac:dyDescent="0.25">
      <c r="A105" s="19">
        <v>45870</v>
      </c>
      <c r="B105" s="1">
        <v>1.9</v>
      </c>
      <c r="C105">
        <v>-0.8</v>
      </c>
      <c r="D105">
        <v>2</v>
      </c>
      <c r="E105">
        <v>2.7</v>
      </c>
    </row>
    <row r="106" spans="1:5" x14ac:dyDescent="0.25">
      <c r="A106" s="19">
        <v>45901</v>
      </c>
      <c r="B106" s="1">
        <v>2.1</v>
      </c>
      <c r="C106">
        <v>2.2000000000000002</v>
      </c>
      <c r="D106">
        <v>1.9</v>
      </c>
      <c r="E106">
        <v>2.6</v>
      </c>
    </row>
    <row r="107" spans="1:5" x14ac:dyDescent="0.25">
      <c r="A107" s="19">
        <v>45931</v>
      </c>
      <c r="B107" s="1">
        <v>2.2999999999999998</v>
      </c>
      <c r="C107">
        <v>2.8</v>
      </c>
      <c r="D107">
        <v>2.2000000000000002</v>
      </c>
      <c r="E107">
        <v>2.6</v>
      </c>
    </row>
    <row r="108" spans="1:5" x14ac:dyDescent="0.25">
      <c r="A108" s="19">
        <v>45962</v>
      </c>
      <c r="B108" s="1">
        <v>2.5</v>
      </c>
      <c r="C108">
        <v>0.4</v>
      </c>
      <c r="D108">
        <v>2.6</v>
      </c>
      <c r="E108">
        <v>2.9</v>
      </c>
    </row>
    <row r="109" spans="1:5" x14ac:dyDescent="0.25">
      <c r="A109" s="19">
        <v>45992</v>
      </c>
      <c r="B109" s="1">
        <v>2.8</v>
      </c>
      <c r="C109">
        <v>0.6</v>
      </c>
      <c r="D109">
        <v>3</v>
      </c>
      <c r="E109">
        <v>3.3</v>
      </c>
    </row>
    <row r="110" spans="1:5" x14ac:dyDescent="0.25">
      <c r="A110" s="19">
        <v>46023</v>
      </c>
      <c r="B110" s="1">
        <v>2.9</v>
      </c>
      <c r="C110">
        <v>5.7</v>
      </c>
      <c r="D110">
        <v>2.6</v>
      </c>
      <c r="E110">
        <v>2.4</v>
      </c>
    </row>
    <row r="111" spans="1:5" x14ac:dyDescent="0.25">
      <c r="A111" s="19">
        <v>46054</v>
      </c>
      <c r="B111" s="1">
        <v>2.9</v>
      </c>
      <c r="C111">
        <v>-1.3</v>
      </c>
      <c r="D111">
        <v>3.1</v>
      </c>
      <c r="E111">
        <v>4.3</v>
      </c>
    </row>
    <row r="112" spans="1:5" x14ac:dyDescent="0.25">
      <c r="A112" s="19">
        <v>46082</v>
      </c>
      <c r="B112" s="1">
        <v>3.4</v>
      </c>
      <c r="C112">
        <v>1</v>
      </c>
      <c r="D112">
        <v>3.2</v>
      </c>
      <c r="E112">
        <v>5.0999999999999996</v>
      </c>
    </row>
    <row r="113" spans="1:5" x14ac:dyDescent="0.25">
      <c r="A113" s="19">
        <v>46113</v>
      </c>
      <c r="B113" s="1">
        <v>2.6</v>
      </c>
      <c r="C113">
        <v>0</v>
      </c>
      <c r="D113">
        <v>2.2999999999999998</v>
      </c>
      <c r="E113">
        <v>4.7</v>
      </c>
    </row>
    <row r="114" spans="1:5" x14ac:dyDescent="0.25">
      <c r="A114" s="19">
        <v>46143</v>
      </c>
      <c r="B114" s="1">
        <v>2.1</v>
      </c>
      <c r="C114">
        <v>3.5</v>
      </c>
      <c r="D114">
        <v>1.9</v>
      </c>
      <c r="E114">
        <v>2.4</v>
      </c>
    </row>
    <row r="115" spans="1:5" x14ac:dyDescent="0.25">
      <c r="A115" s="19">
        <v>46174</v>
      </c>
      <c r="B115" s="1">
        <v>1.9</v>
      </c>
      <c r="C115">
        <v>3.4</v>
      </c>
      <c r="D115">
        <v>1.6</v>
      </c>
      <c r="E115">
        <v>2.2999999999999998</v>
      </c>
    </row>
    <row r="116" spans="1:5" x14ac:dyDescent="0.25">
      <c r="A116" s="19">
        <v>46204</v>
      </c>
      <c r="B116" s="1">
        <v>2.1</v>
      </c>
      <c r="C116" s="1">
        <v>4.5</v>
      </c>
      <c r="D116">
        <v>1.8</v>
      </c>
      <c r="E116">
        <v>2.1</v>
      </c>
    </row>
    <row r="117" spans="1:5" x14ac:dyDescent="0.25">
      <c r="A117" s="19">
        <v>46235</v>
      </c>
      <c r="B117" s="1">
        <v>1.7</v>
      </c>
      <c r="C117">
        <v>-0.9</v>
      </c>
      <c r="D117">
        <v>1.8</v>
      </c>
      <c r="E117">
        <v>2.2000000000000002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Normal="100" workbookViewId="0">
      <selection activeCell="B2" sqref="B2:H14"/>
    </sheetView>
  </sheetViews>
  <sheetFormatPr baseColWidth="10" defaultColWidth="10.7109375" defaultRowHeight="15" x14ac:dyDescent="0.25"/>
  <cols>
    <col min="1" max="1" width="34.42578125" customWidth="1"/>
  </cols>
  <sheetData>
    <row r="1" spans="1:8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8" t="s">
        <v>12</v>
      </c>
      <c r="B2" s="24">
        <v>1.7</v>
      </c>
      <c r="C2" s="24">
        <v>1.6</v>
      </c>
      <c r="D2" s="24">
        <v>1.6</v>
      </c>
      <c r="E2" s="24">
        <v>1.8</v>
      </c>
      <c r="F2" s="24">
        <v>1.8</v>
      </c>
      <c r="G2" s="24">
        <v>1.7</v>
      </c>
      <c r="H2" s="24">
        <v>1.8</v>
      </c>
    </row>
    <row r="3" spans="1:8" x14ac:dyDescent="0.25">
      <c r="A3" s="9" t="s">
        <v>13</v>
      </c>
      <c r="B3" s="22">
        <v>1.7</v>
      </c>
      <c r="C3" s="22">
        <v>1.4</v>
      </c>
      <c r="D3" s="22">
        <v>1.7</v>
      </c>
      <c r="E3" s="22">
        <v>2.2000000000000002</v>
      </c>
      <c r="F3" s="22">
        <v>2</v>
      </c>
      <c r="G3" s="22">
        <v>1.9</v>
      </c>
      <c r="H3" s="22">
        <v>2.2000000000000002</v>
      </c>
    </row>
    <row r="4" spans="1:8" x14ac:dyDescent="0.25">
      <c r="A4" s="9" t="s">
        <v>14</v>
      </c>
      <c r="B4" s="22">
        <v>2.1</v>
      </c>
      <c r="C4" s="22">
        <v>2.2000000000000002</v>
      </c>
      <c r="D4" s="22">
        <v>2</v>
      </c>
      <c r="E4" s="22">
        <v>1.4</v>
      </c>
      <c r="F4" s="22">
        <v>2.4</v>
      </c>
      <c r="G4" s="22">
        <v>1.9</v>
      </c>
      <c r="H4" s="22">
        <v>2.2000000000000002</v>
      </c>
    </row>
    <row r="5" spans="1:8" x14ac:dyDescent="0.25">
      <c r="A5" s="9" t="s">
        <v>15</v>
      </c>
      <c r="B5" s="22">
        <v>-0.6</v>
      </c>
      <c r="C5" s="22">
        <v>-1.1000000000000001</v>
      </c>
      <c r="D5" s="22">
        <v>-0.3</v>
      </c>
      <c r="E5" s="22">
        <v>-1.8</v>
      </c>
      <c r="F5" s="22">
        <v>-0.2</v>
      </c>
      <c r="G5" s="22">
        <v>1.7</v>
      </c>
      <c r="H5" s="22">
        <v>-0.2</v>
      </c>
    </row>
    <row r="6" spans="1:8" x14ac:dyDescent="0.25">
      <c r="A6" s="9" t="s">
        <v>16</v>
      </c>
      <c r="B6" s="22">
        <v>2.8</v>
      </c>
      <c r="C6" s="22">
        <v>2.6</v>
      </c>
      <c r="D6" s="22">
        <v>3.5</v>
      </c>
      <c r="E6" s="22">
        <v>4</v>
      </c>
      <c r="F6" s="22">
        <v>2.2999999999999998</v>
      </c>
      <c r="G6" s="22">
        <v>2</v>
      </c>
      <c r="H6" s="22">
        <v>1.3</v>
      </c>
    </row>
    <row r="7" spans="1:8" x14ac:dyDescent="0.25">
      <c r="A7" s="9" t="s">
        <v>17</v>
      </c>
      <c r="B7" s="22">
        <v>1.4</v>
      </c>
      <c r="C7" s="22">
        <v>1.5</v>
      </c>
      <c r="D7" s="22">
        <v>1.6</v>
      </c>
      <c r="E7" s="22">
        <v>1.4</v>
      </c>
      <c r="F7" s="22">
        <v>1.4</v>
      </c>
      <c r="G7" s="22">
        <v>0.4</v>
      </c>
      <c r="H7" s="22">
        <v>1.4</v>
      </c>
    </row>
    <row r="8" spans="1:8" x14ac:dyDescent="0.25">
      <c r="A8" s="9" t="s">
        <v>18</v>
      </c>
      <c r="B8" s="22">
        <v>2.4</v>
      </c>
      <c r="C8" s="22">
        <v>2.2999999999999998</v>
      </c>
      <c r="D8" s="22">
        <v>2.5</v>
      </c>
      <c r="E8" s="22">
        <v>2.7</v>
      </c>
      <c r="F8" s="22">
        <v>2.2999999999999998</v>
      </c>
      <c r="G8" s="22">
        <v>2.6</v>
      </c>
      <c r="H8" s="22">
        <v>2.4</v>
      </c>
    </row>
    <row r="9" spans="1:8" x14ac:dyDescent="0.25">
      <c r="A9" s="9" t="s">
        <v>19</v>
      </c>
      <c r="B9" s="22">
        <v>1.5</v>
      </c>
      <c r="C9" s="22">
        <v>1.8</v>
      </c>
      <c r="D9" s="22">
        <v>1.4</v>
      </c>
      <c r="E9" s="22">
        <v>-0.1</v>
      </c>
      <c r="F9" s="22">
        <v>1.5</v>
      </c>
      <c r="G9" s="22">
        <v>1.3</v>
      </c>
      <c r="H9" s="22">
        <v>2</v>
      </c>
    </row>
    <row r="10" spans="1:8" x14ac:dyDescent="0.25">
      <c r="A10" s="9" t="s">
        <v>20</v>
      </c>
      <c r="B10" s="22">
        <v>2.2999999999999998</v>
      </c>
      <c r="C10" s="22">
        <v>2.4</v>
      </c>
      <c r="D10" s="22">
        <v>2.2000000000000002</v>
      </c>
      <c r="E10" s="22">
        <v>1.8</v>
      </c>
      <c r="F10" s="22">
        <v>2.2000000000000002</v>
      </c>
      <c r="G10" s="22">
        <v>2.2999999999999998</v>
      </c>
      <c r="H10" s="22">
        <v>2.2000000000000002</v>
      </c>
    </row>
    <row r="11" spans="1:8" x14ac:dyDescent="0.25">
      <c r="A11" s="9" t="s">
        <v>21</v>
      </c>
      <c r="B11" s="22">
        <v>0</v>
      </c>
      <c r="C11" s="22">
        <v>0.3</v>
      </c>
      <c r="D11" s="22">
        <v>-0.7</v>
      </c>
      <c r="E11" s="22">
        <v>0.3</v>
      </c>
      <c r="F11" s="22">
        <v>-0.2</v>
      </c>
      <c r="G11" s="22">
        <v>0</v>
      </c>
      <c r="H11" s="22">
        <v>1.4</v>
      </c>
    </row>
    <row r="12" spans="1:8" x14ac:dyDescent="0.25">
      <c r="A12" s="9" t="s">
        <v>22</v>
      </c>
      <c r="B12" s="22">
        <v>2.5</v>
      </c>
      <c r="C12" s="22">
        <v>2.5</v>
      </c>
      <c r="D12" s="22">
        <v>2.4</v>
      </c>
      <c r="E12" s="22">
        <v>0.9</v>
      </c>
      <c r="F12" s="22">
        <v>2.2999999999999998</v>
      </c>
      <c r="G12" s="22">
        <v>4.3</v>
      </c>
      <c r="H12" s="22">
        <v>3.4</v>
      </c>
    </row>
    <row r="13" spans="1:8" x14ac:dyDescent="0.25">
      <c r="A13" s="9" t="s">
        <v>23</v>
      </c>
      <c r="B13" s="22">
        <v>1.8</v>
      </c>
      <c r="C13" s="22">
        <v>2</v>
      </c>
      <c r="D13" s="22">
        <v>1.4</v>
      </c>
      <c r="E13" s="22">
        <v>3.1</v>
      </c>
      <c r="F13" s="22">
        <v>2.7</v>
      </c>
      <c r="G13" s="22">
        <v>1</v>
      </c>
      <c r="H13" s="22">
        <v>2.2000000000000002</v>
      </c>
    </row>
    <row r="14" spans="1:8" x14ac:dyDescent="0.25">
      <c r="A14" s="9" t="s">
        <v>24</v>
      </c>
      <c r="B14" s="22">
        <v>2.4</v>
      </c>
      <c r="C14" s="22">
        <v>2.6</v>
      </c>
      <c r="D14" s="22">
        <v>2.6</v>
      </c>
      <c r="E14" s="22">
        <v>1</v>
      </c>
      <c r="F14" s="22">
        <v>2.2999999999999998</v>
      </c>
      <c r="G14" s="22">
        <v>2.2999999999999998</v>
      </c>
      <c r="H14" s="22">
        <v>1.9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Normal="100" workbookViewId="0">
      <selection activeCell="B2" sqref="B2:H14"/>
    </sheetView>
  </sheetViews>
  <sheetFormatPr baseColWidth="10" defaultColWidth="10.7109375" defaultRowHeight="15" x14ac:dyDescent="0.25"/>
  <cols>
    <col min="1" max="1" width="18.85546875" customWidth="1"/>
  </cols>
  <sheetData>
    <row r="1" spans="1:8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8" t="s">
        <v>12</v>
      </c>
      <c r="B2" s="52">
        <v>33.5</v>
      </c>
      <c r="C2" s="52">
        <v>33.700000000000003</v>
      </c>
      <c r="D2" s="52">
        <v>33.1</v>
      </c>
      <c r="E2" s="52">
        <v>37</v>
      </c>
      <c r="F2" s="52">
        <v>34</v>
      </c>
      <c r="G2" s="52">
        <v>33.4</v>
      </c>
      <c r="H2" s="52">
        <v>31.6</v>
      </c>
    </row>
    <row r="3" spans="1:8" x14ac:dyDescent="0.25">
      <c r="A3" s="9" t="s">
        <v>13</v>
      </c>
      <c r="B3" s="53">
        <v>34.9</v>
      </c>
      <c r="C3" s="53">
        <v>34.299999999999997</v>
      </c>
      <c r="D3" s="53">
        <v>34.9</v>
      </c>
      <c r="E3" s="53">
        <v>41.8</v>
      </c>
      <c r="F3" s="53">
        <v>37.299999999999997</v>
      </c>
      <c r="G3" s="53">
        <v>34.799999999999997</v>
      </c>
      <c r="H3" s="53">
        <v>30</v>
      </c>
    </row>
    <row r="4" spans="1:8" x14ac:dyDescent="0.25">
      <c r="A4" s="9" t="s">
        <v>14</v>
      </c>
      <c r="B4" s="53">
        <v>22.6</v>
      </c>
      <c r="C4" s="53">
        <v>23.1</v>
      </c>
      <c r="D4" s="53">
        <v>21.9</v>
      </c>
      <c r="E4" s="53">
        <v>22.2</v>
      </c>
      <c r="F4" s="53">
        <v>22.6</v>
      </c>
      <c r="G4" s="53">
        <v>22.6</v>
      </c>
      <c r="H4" s="53">
        <v>24.4</v>
      </c>
    </row>
    <row r="5" spans="1:8" x14ac:dyDescent="0.25">
      <c r="A5" s="9" t="s">
        <v>15</v>
      </c>
      <c r="B5" s="53">
        <v>11</v>
      </c>
      <c r="C5" s="53">
        <v>10</v>
      </c>
      <c r="D5" s="53">
        <v>11.3</v>
      </c>
      <c r="E5" s="53">
        <v>12.2</v>
      </c>
      <c r="F5" s="53">
        <v>11.8</v>
      </c>
      <c r="G5" s="53">
        <v>15.7</v>
      </c>
      <c r="H5" s="53">
        <v>13.1</v>
      </c>
    </row>
    <row r="6" spans="1:8" x14ac:dyDescent="0.25">
      <c r="A6" s="9" t="s">
        <v>16</v>
      </c>
      <c r="B6" s="53">
        <v>49.1</v>
      </c>
      <c r="C6" s="53">
        <v>45.3</v>
      </c>
      <c r="D6" s="53">
        <v>49.3</v>
      </c>
      <c r="E6" s="53">
        <v>74.5</v>
      </c>
      <c r="F6" s="53">
        <v>50.1</v>
      </c>
      <c r="G6" s="53">
        <v>50.8</v>
      </c>
      <c r="H6" s="53">
        <v>50.9</v>
      </c>
    </row>
    <row r="7" spans="1:8" x14ac:dyDescent="0.25">
      <c r="A7" s="9" t="s">
        <v>17</v>
      </c>
      <c r="B7" s="53">
        <v>24.4</v>
      </c>
      <c r="C7" s="53">
        <v>25.8</v>
      </c>
      <c r="D7" s="53">
        <v>24.1</v>
      </c>
      <c r="E7" s="53">
        <v>18.5</v>
      </c>
      <c r="F7" s="53">
        <v>24</v>
      </c>
      <c r="G7" s="53">
        <v>22.4</v>
      </c>
      <c r="H7" s="53">
        <v>21.4</v>
      </c>
    </row>
    <row r="8" spans="1:8" x14ac:dyDescent="0.25">
      <c r="A8" s="9" t="s">
        <v>18</v>
      </c>
      <c r="B8" s="53">
        <v>33.200000000000003</v>
      </c>
      <c r="C8" s="53">
        <v>33.299999999999997</v>
      </c>
      <c r="D8" s="53">
        <v>33.700000000000003</v>
      </c>
      <c r="E8" s="53">
        <v>31</v>
      </c>
      <c r="F8" s="53">
        <v>32.200000000000003</v>
      </c>
      <c r="G8" s="53">
        <v>31.3</v>
      </c>
      <c r="H8" s="53">
        <v>33.6</v>
      </c>
    </row>
    <row r="9" spans="1:8" x14ac:dyDescent="0.25">
      <c r="A9" s="9" t="s">
        <v>19</v>
      </c>
      <c r="B9" s="53">
        <v>38.200000000000003</v>
      </c>
      <c r="C9" s="53">
        <v>38.6</v>
      </c>
      <c r="D9" s="53">
        <v>37.1</v>
      </c>
      <c r="E9" s="53">
        <v>31.1</v>
      </c>
      <c r="F9" s="53">
        <v>42</v>
      </c>
      <c r="G9" s="53">
        <v>42.1</v>
      </c>
      <c r="H9" s="53">
        <v>38.700000000000003</v>
      </c>
    </row>
    <row r="10" spans="1:8" x14ac:dyDescent="0.25">
      <c r="A10" s="9" t="s">
        <v>20</v>
      </c>
      <c r="B10" s="53">
        <v>36.799999999999997</v>
      </c>
      <c r="C10" s="53">
        <v>38.200000000000003</v>
      </c>
      <c r="D10" s="53">
        <v>35.9</v>
      </c>
      <c r="E10" s="53">
        <v>34</v>
      </c>
      <c r="F10" s="53">
        <v>36.299999999999997</v>
      </c>
      <c r="G10" s="53">
        <v>35.299999999999997</v>
      </c>
      <c r="H10" s="53">
        <v>34.5</v>
      </c>
    </row>
    <row r="11" spans="1:8" x14ac:dyDescent="0.25">
      <c r="A11" s="9" t="s">
        <v>21</v>
      </c>
      <c r="B11" s="53">
        <v>31.5</v>
      </c>
      <c r="C11" s="53">
        <v>33.200000000000003</v>
      </c>
      <c r="D11" s="53">
        <v>31.5</v>
      </c>
      <c r="E11" s="53">
        <v>28.8</v>
      </c>
      <c r="F11" s="53">
        <v>28.5</v>
      </c>
      <c r="G11" s="53">
        <v>28</v>
      </c>
      <c r="H11" s="53">
        <v>25.1</v>
      </c>
    </row>
    <row r="12" spans="1:8" x14ac:dyDescent="0.25">
      <c r="A12" s="9" t="s">
        <v>22</v>
      </c>
      <c r="B12" s="53">
        <v>40</v>
      </c>
      <c r="C12" s="53">
        <v>41.8</v>
      </c>
      <c r="D12" s="53">
        <v>35.799999999999997</v>
      </c>
      <c r="E12" s="53">
        <v>43.4</v>
      </c>
      <c r="F12" s="53">
        <v>44.5</v>
      </c>
      <c r="G12" s="53">
        <v>38.299999999999997</v>
      </c>
      <c r="H12" s="53">
        <v>38.9</v>
      </c>
    </row>
    <row r="13" spans="1:8" x14ac:dyDescent="0.25">
      <c r="A13" s="9" t="s">
        <v>23</v>
      </c>
      <c r="B13" s="53">
        <v>34.6</v>
      </c>
      <c r="C13" s="53">
        <v>34.5</v>
      </c>
      <c r="D13" s="53">
        <v>36.6</v>
      </c>
      <c r="E13" s="53">
        <v>37.4</v>
      </c>
      <c r="F13" s="53">
        <v>31.9</v>
      </c>
      <c r="G13" s="53">
        <v>27.5</v>
      </c>
      <c r="H13" s="53">
        <v>30.9</v>
      </c>
    </row>
    <row r="14" spans="1:8" x14ac:dyDescent="0.25">
      <c r="A14" s="9" t="s">
        <v>24</v>
      </c>
      <c r="B14" s="53">
        <v>32.799999999999997</v>
      </c>
      <c r="C14" s="53">
        <v>35.4</v>
      </c>
      <c r="D14" s="53">
        <v>31.4</v>
      </c>
      <c r="E14" s="53">
        <v>27</v>
      </c>
      <c r="F14" s="53">
        <v>29.1</v>
      </c>
      <c r="G14" s="53">
        <v>32.799999999999997</v>
      </c>
      <c r="H14" s="53">
        <v>29.7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topLeftCell="A75" zoomScaleNormal="100" workbookViewId="0">
      <selection activeCell="C2" sqref="C2:C90"/>
    </sheetView>
  </sheetViews>
  <sheetFormatPr baseColWidth="10" defaultColWidth="10.7109375" defaultRowHeight="15" x14ac:dyDescent="0.25"/>
  <cols>
    <col min="1" max="4" width="11.42578125" style="10" customWidth="1"/>
  </cols>
  <sheetData>
    <row r="1" spans="1:4" x14ac:dyDescent="0.25">
      <c r="A1" s="10" t="s">
        <v>25</v>
      </c>
      <c r="B1" s="10" t="s">
        <v>26</v>
      </c>
      <c r="C1" s="10" t="s">
        <v>27</v>
      </c>
      <c r="D1" s="10" t="s">
        <v>28</v>
      </c>
    </row>
    <row r="2" spans="1:4" x14ac:dyDescent="0.25">
      <c r="A2" s="10">
        <v>2004</v>
      </c>
      <c r="B2" s="10" t="s">
        <v>29</v>
      </c>
      <c r="C2" s="11">
        <v>475539.40286010271</v>
      </c>
      <c r="D2" s="11">
        <v>460369.44223294902</v>
      </c>
    </row>
    <row r="3" spans="1:4" x14ac:dyDescent="0.25">
      <c r="A3" s="10">
        <v>2004</v>
      </c>
      <c r="B3" s="10" t="s">
        <v>30</v>
      </c>
      <c r="C3" s="11">
        <v>470354.11948447995</v>
      </c>
      <c r="D3" s="11">
        <v>514395.68177236198</v>
      </c>
    </row>
    <row r="4" spans="1:4" x14ac:dyDescent="0.25">
      <c r="A4" s="10">
        <v>2004</v>
      </c>
      <c r="B4" s="10" t="s">
        <v>31</v>
      </c>
      <c r="C4" s="11">
        <v>493797.37820779701</v>
      </c>
      <c r="D4" s="11">
        <v>481151.97994350799</v>
      </c>
    </row>
    <row r="5" spans="1:4" x14ac:dyDescent="0.25">
      <c r="A5" s="10">
        <v>2004</v>
      </c>
      <c r="B5" s="10" t="s">
        <v>32</v>
      </c>
      <c r="C5" s="11">
        <v>500769.87964556657</v>
      </c>
      <c r="D5" s="11">
        <v>484543.67687656201</v>
      </c>
    </row>
    <row r="6" spans="1:4" x14ac:dyDescent="0.25">
      <c r="A6" s="10">
        <v>2005</v>
      </c>
      <c r="B6" s="10" t="s">
        <v>29</v>
      </c>
      <c r="C6" s="11">
        <v>515285.82226785243</v>
      </c>
      <c r="D6" s="11">
        <v>493602.53057785501</v>
      </c>
    </row>
    <row r="7" spans="1:4" x14ac:dyDescent="0.25">
      <c r="A7" s="10">
        <v>2005</v>
      </c>
      <c r="B7" s="10" t="s">
        <v>30</v>
      </c>
      <c r="C7" s="11">
        <v>526591.9714851937</v>
      </c>
      <c r="D7" s="11">
        <v>581668.24987960199</v>
      </c>
    </row>
    <row r="8" spans="1:4" x14ac:dyDescent="0.25">
      <c r="A8" s="10">
        <v>2005</v>
      </c>
      <c r="B8" s="10" t="s">
        <v>31</v>
      </c>
      <c r="C8" s="11">
        <v>530024.96916142374</v>
      </c>
      <c r="D8" s="11">
        <v>514697.78950542799</v>
      </c>
    </row>
    <row r="9" spans="1:4" x14ac:dyDescent="0.25">
      <c r="A9" s="10">
        <v>2005</v>
      </c>
      <c r="B9" s="10" t="s">
        <v>32</v>
      </c>
      <c r="C9" s="11">
        <v>540321.007099187</v>
      </c>
      <c r="D9" s="11">
        <v>522255.20005077199</v>
      </c>
    </row>
    <row r="10" spans="1:4" x14ac:dyDescent="0.25">
      <c r="A10" s="10">
        <v>2006</v>
      </c>
      <c r="B10" s="10" t="s">
        <v>29</v>
      </c>
      <c r="C10" s="11">
        <v>554468.16211025103</v>
      </c>
      <c r="D10" s="11">
        <v>532348.21201691695</v>
      </c>
    </row>
    <row r="11" spans="1:4" x14ac:dyDescent="0.25">
      <c r="A11" s="10">
        <v>2006</v>
      </c>
      <c r="B11" s="10" t="s">
        <v>30</v>
      </c>
      <c r="C11" s="11">
        <v>561434.67786953063</v>
      </c>
      <c r="D11" s="11">
        <v>614076.39260854397</v>
      </c>
    </row>
    <row r="12" spans="1:4" x14ac:dyDescent="0.25">
      <c r="A12" s="10">
        <v>2006</v>
      </c>
      <c r="B12" s="10" t="s">
        <v>31</v>
      </c>
      <c r="C12" s="11">
        <v>576815.72098068486</v>
      </c>
      <c r="D12" s="11">
        <v>562978.96562687703</v>
      </c>
    </row>
    <row r="13" spans="1:4" x14ac:dyDescent="0.25">
      <c r="A13" s="10">
        <v>2006</v>
      </c>
      <c r="B13" s="10" t="s">
        <v>32</v>
      </c>
      <c r="C13" s="11">
        <v>589479.05592245981</v>
      </c>
      <c r="D13" s="11">
        <v>572794.04663058801</v>
      </c>
    </row>
    <row r="14" spans="1:4" x14ac:dyDescent="0.25">
      <c r="A14" s="10">
        <v>2007</v>
      </c>
      <c r="B14" s="10" t="s">
        <v>29</v>
      </c>
      <c r="C14" s="11">
        <v>603416.48185863218</v>
      </c>
      <c r="D14" s="11">
        <v>576846.88569942699</v>
      </c>
    </row>
    <row r="15" spans="1:4" x14ac:dyDescent="0.25">
      <c r="A15" s="10">
        <v>2007</v>
      </c>
      <c r="B15" s="10" t="s">
        <v>30</v>
      </c>
      <c r="C15" s="11">
        <v>616299.39312501706</v>
      </c>
      <c r="D15" s="11">
        <v>674620.563006485</v>
      </c>
    </row>
    <row r="16" spans="1:4" x14ac:dyDescent="0.25">
      <c r="A16" s="10">
        <v>2007</v>
      </c>
      <c r="B16" s="10" t="s">
        <v>31</v>
      </c>
      <c r="C16" s="11">
        <v>624352.58868411044</v>
      </c>
      <c r="D16" s="11">
        <v>610425.69401485403</v>
      </c>
    </row>
    <row r="17" spans="1:4" x14ac:dyDescent="0.25">
      <c r="A17" s="10">
        <v>2007</v>
      </c>
      <c r="B17" s="10" t="s">
        <v>32</v>
      </c>
      <c r="C17" s="11">
        <v>643701.5469166023</v>
      </c>
      <c r="D17" s="11">
        <v>625876.867863597</v>
      </c>
    </row>
    <row r="18" spans="1:4" x14ac:dyDescent="0.25">
      <c r="A18" s="10">
        <v>2008</v>
      </c>
      <c r="B18" s="10" t="s">
        <v>29</v>
      </c>
      <c r="C18" s="11">
        <v>650062.83279971546</v>
      </c>
      <c r="D18" s="11">
        <v>616720.35706447798</v>
      </c>
    </row>
    <row r="19" spans="1:4" x14ac:dyDescent="0.25">
      <c r="A19" s="10">
        <v>2008</v>
      </c>
      <c r="B19" s="10" t="s">
        <v>30</v>
      </c>
      <c r="C19" s="11">
        <v>653269.76138485561</v>
      </c>
      <c r="D19" s="11">
        <v>711405.50045523304</v>
      </c>
    </row>
    <row r="20" spans="1:4" x14ac:dyDescent="0.25">
      <c r="A20" s="10">
        <v>2008</v>
      </c>
      <c r="B20" s="10" t="s">
        <v>31</v>
      </c>
      <c r="C20" s="11">
        <v>657936.93255261565</v>
      </c>
      <c r="D20" s="11">
        <v>647087.95974249404</v>
      </c>
    </row>
    <row r="21" spans="1:4" x14ac:dyDescent="0.25">
      <c r="A21" s="10">
        <v>2008</v>
      </c>
      <c r="B21" s="10" t="s">
        <v>32</v>
      </c>
      <c r="C21" s="11">
        <v>627435.11222766025</v>
      </c>
      <c r="D21" s="11">
        <v>613490.82170264097</v>
      </c>
    </row>
    <row r="22" spans="1:4" x14ac:dyDescent="0.25">
      <c r="A22" s="10">
        <v>2009</v>
      </c>
      <c r="B22" s="10" t="s">
        <v>29</v>
      </c>
      <c r="C22" s="11">
        <v>604739.79905993817</v>
      </c>
      <c r="D22" s="11">
        <v>578553.04424240498</v>
      </c>
    </row>
    <row r="23" spans="1:4" x14ac:dyDescent="0.25">
      <c r="A23" s="10">
        <v>2009</v>
      </c>
      <c r="B23" s="10" t="s">
        <v>30</v>
      </c>
      <c r="C23" s="11">
        <v>590902.23142847931</v>
      </c>
      <c r="D23" s="11">
        <v>631197.75186006899</v>
      </c>
    </row>
    <row r="24" spans="1:4" x14ac:dyDescent="0.25">
      <c r="A24" s="10">
        <v>2009</v>
      </c>
      <c r="B24" s="10" t="s">
        <v>31</v>
      </c>
      <c r="C24" s="11">
        <v>614035.54343456146</v>
      </c>
      <c r="D24" s="11">
        <v>610519.85461172694</v>
      </c>
    </row>
    <row r="25" spans="1:4" ht="16.5" customHeight="1" x14ac:dyDescent="0.25">
      <c r="A25" s="10">
        <v>2009</v>
      </c>
      <c r="B25" s="10" t="s">
        <v>32</v>
      </c>
      <c r="C25" s="11">
        <v>625813.93172851868</v>
      </c>
      <c r="D25" s="11">
        <v>615220.85493729694</v>
      </c>
    </row>
    <row r="26" spans="1:4" x14ac:dyDescent="0.25">
      <c r="A26" s="10">
        <v>2010</v>
      </c>
      <c r="B26" s="10" t="s">
        <v>29</v>
      </c>
      <c r="C26" s="11">
        <v>644901.88693182275</v>
      </c>
      <c r="D26" s="11">
        <v>611607.33658973</v>
      </c>
    </row>
    <row r="27" spans="1:4" x14ac:dyDescent="0.25">
      <c r="A27" s="10">
        <v>2010</v>
      </c>
      <c r="B27" s="10" t="s">
        <v>30</v>
      </c>
      <c r="C27" s="11">
        <v>673704.24691340048</v>
      </c>
      <c r="D27" s="11">
        <v>733730.773968903</v>
      </c>
    </row>
    <row r="28" spans="1:4" x14ac:dyDescent="0.25">
      <c r="A28" s="10">
        <v>2010</v>
      </c>
      <c r="B28" s="10" t="s">
        <v>31</v>
      </c>
      <c r="C28" s="11">
        <v>677196.1138942315</v>
      </c>
      <c r="D28" s="11">
        <v>668566.50948898599</v>
      </c>
    </row>
    <row r="29" spans="1:4" x14ac:dyDescent="0.25">
      <c r="A29" s="10">
        <v>2010</v>
      </c>
      <c r="B29" s="10" t="s">
        <v>32</v>
      </c>
      <c r="C29" s="11">
        <v>686292.47002773837</v>
      </c>
      <c r="D29" s="11">
        <v>668190.097719574</v>
      </c>
    </row>
    <row r="30" spans="1:4" x14ac:dyDescent="0.25">
      <c r="A30" s="10">
        <v>2011</v>
      </c>
      <c r="B30" s="10" t="s">
        <v>29</v>
      </c>
      <c r="C30" s="11">
        <v>702715.18731246202</v>
      </c>
      <c r="D30" s="11">
        <v>662325.58597269503</v>
      </c>
    </row>
    <row r="31" spans="1:4" x14ac:dyDescent="0.25">
      <c r="A31" s="10">
        <v>2011</v>
      </c>
      <c r="B31" s="10" t="s">
        <v>30</v>
      </c>
      <c r="C31" s="11">
        <v>709752.09900164558</v>
      </c>
      <c r="D31" s="11">
        <v>766332.95457161299</v>
      </c>
    </row>
    <row r="32" spans="1:4" x14ac:dyDescent="0.25">
      <c r="A32" s="10">
        <v>2011</v>
      </c>
      <c r="B32" s="10" t="s">
        <v>31</v>
      </c>
      <c r="C32" s="11">
        <v>715352.50699214835</v>
      </c>
      <c r="D32" s="11">
        <v>711417.39193010505</v>
      </c>
    </row>
    <row r="33" spans="1:4" x14ac:dyDescent="0.25">
      <c r="A33" s="10">
        <v>2011</v>
      </c>
      <c r="B33" s="10" t="s">
        <v>32</v>
      </c>
      <c r="C33" s="11">
        <v>715306.59557615174</v>
      </c>
      <c r="D33" s="11">
        <v>703050.45640799298</v>
      </c>
    </row>
    <row r="34" spans="1:4" x14ac:dyDescent="0.25">
      <c r="A34" s="10">
        <v>2012</v>
      </c>
      <c r="B34" s="10" t="s">
        <v>29</v>
      </c>
      <c r="C34" s="11">
        <v>707988.22133292514</v>
      </c>
      <c r="D34" s="11">
        <v>672685.993630504</v>
      </c>
    </row>
    <row r="35" spans="1:4" x14ac:dyDescent="0.25">
      <c r="A35" s="10">
        <v>2012</v>
      </c>
      <c r="B35" s="10" t="s">
        <v>30</v>
      </c>
      <c r="C35" s="11">
        <v>683985.42306130065</v>
      </c>
      <c r="D35" s="11">
        <v>730838.27259277599</v>
      </c>
    </row>
    <row r="36" spans="1:4" x14ac:dyDescent="0.25">
      <c r="A36" s="10">
        <v>2012</v>
      </c>
      <c r="B36" s="10" t="s">
        <v>31</v>
      </c>
      <c r="C36" s="11">
        <v>705109.9934384583</v>
      </c>
      <c r="D36" s="11">
        <v>703461.65253019601</v>
      </c>
    </row>
    <row r="37" spans="1:4" x14ac:dyDescent="0.25">
      <c r="A37" s="10">
        <v>2012</v>
      </c>
      <c r="B37" s="10" t="s">
        <v>32</v>
      </c>
      <c r="C37" s="11">
        <v>716860.32000311208</v>
      </c>
      <c r="D37" s="11">
        <v>706958.03908231901</v>
      </c>
    </row>
    <row r="38" spans="1:4" x14ac:dyDescent="0.25">
      <c r="A38" s="10">
        <v>2013</v>
      </c>
      <c r="B38" s="10" t="s">
        <v>29</v>
      </c>
      <c r="C38" s="11">
        <v>716958.91356570437</v>
      </c>
      <c r="D38" s="11">
        <v>677085.52917315101</v>
      </c>
    </row>
    <row r="39" spans="1:4" x14ac:dyDescent="0.25">
      <c r="A39" s="10">
        <v>2013</v>
      </c>
      <c r="B39" s="10" t="s">
        <v>30</v>
      </c>
      <c r="C39" s="11">
        <v>721290.34819069924</v>
      </c>
      <c r="D39" s="11">
        <v>776486.60279942001</v>
      </c>
    </row>
    <row r="40" spans="1:4" x14ac:dyDescent="0.25">
      <c r="A40" s="10">
        <v>2013</v>
      </c>
      <c r="B40" s="10" t="s">
        <v>31</v>
      </c>
      <c r="C40" s="11">
        <v>725228.86057766667</v>
      </c>
      <c r="D40" s="11">
        <v>721458.94421618199</v>
      </c>
    </row>
    <row r="41" spans="1:4" x14ac:dyDescent="0.25">
      <c r="A41" s="10">
        <v>2013</v>
      </c>
      <c r="B41" s="10" t="s">
        <v>32</v>
      </c>
      <c r="C41" s="11">
        <v>718150.29887718929</v>
      </c>
      <c r="D41" s="11">
        <v>706597.34502250701</v>
      </c>
    </row>
    <row r="42" spans="1:4" x14ac:dyDescent="0.25">
      <c r="A42" s="10">
        <v>2014</v>
      </c>
      <c r="B42" s="10" t="s">
        <v>29</v>
      </c>
      <c r="C42" s="11">
        <v>707604.64972170733</v>
      </c>
      <c r="D42" s="11">
        <v>671066.04663506302</v>
      </c>
    </row>
    <row r="43" spans="1:4" x14ac:dyDescent="0.25">
      <c r="A43" s="10">
        <v>2014</v>
      </c>
      <c r="B43" s="10" t="s">
        <v>30</v>
      </c>
      <c r="C43" s="11">
        <v>703288.51850467571</v>
      </c>
      <c r="D43" s="11">
        <v>760576.86834800395</v>
      </c>
    </row>
    <row r="44" spans="1:4" x14ac:dyDescent="0.25">
      <c r="A44" s="10">
        <v>2014</v>
      </c>
      <c r="B44" s="10" t="s">
        <v>31</v>
      </c>
      <c r="C44" s="11">
        <v>697226.21978834714</v>
      </c>
      <c r="D44" s="11">
        <v>690879.79825168301</v>
      </c>
    </row>
    <row r="45" spans="1:4" x14ac:dyDescent="0.25">
      <c r="A45" s="10">
        <v>2014</v>
      </c>
      <c r="B45" s="10" t="s">
        <v>32</v>
      </c>
      <c r="C45" s="11">
        <v>701104.79583873064</v>
      </c>
      <c r="D45" s="11">
        <v>686701.47061871097</v>
      </c>
    </row>
    <row r="46" spans="1:4" x14ac:dyDescent="0.25">
      <c r="A46" s="10">
        <v>2015</v>
      </c>
      <c r="B46" s="10" t="s">
        <v>29</v>
      </c>
      <c r="C46" s="11">
        <v>711401.44068145636</v>
      </c>
      <c r="D46" s="11">
        <v>672749.81139169901</v>
      </c>
    </row>
    <row r="47" spans="1:4" x14ac:dyDescent="0.25">
      <c r="A47" s="10">
        <v>2015</v>
      </c>
      <c r="B47" s="10" t="s">
        <v>30</v>
      </c>
      <c r="C47" s="11">
        <v>727767.46053102415</v>
      </c>
      <c r="D47" s="11">
        <v>791235.96554166998</v>
      </c>
    </row>
    <row r="48" spans="1:4" x14ac:dyDescent="0.25">
      <c r="A48" s="10">
        <v>2015</v>
      </c>
      <c r="B48" s="10" t="s">
        <v>31</v>
      </c>
      <c r="C48" s="11">
        <v>727494.47701461555</v>
      </c>
      <c r="D48" s="11">
        <v>718281.26544978202</v>
      </c>
    </row>
    <row r="49" spans="1:4" x14ac:dyDescent="0.25">
      <c r="A49" s="10">
        <v>2015</v>
      </c>
      <c r="B49" s="10" t="s">
        <v>32</v>
      </c>
      <c r="C49" s="11">
        <v>719285.20832506299</v>
      </c>
      <c r="D49" s="11">
        <v>703681.54416900803</v>
      </c>
    </row>
    <row r="50" spans="1:4" x14ac:dyDescent="0.25">
      <c r="A50" s="10">
        <v>2016</v>
      </c>
      <c r="B50" s="10" t="s">
        <v>29</v>
      </c>
      <c r="C50" s="11">
        <v>712710.63575714745</v>
      </c>
      <c r="D50" s="11">
        <v>677652.08911570301</v>
      </c>
    </row>
    <row r="51" spans="1:4" x14ac:dyDescent="0.25">
      <c r="A51" s="10">
        <v>2016</v>
      </c>
      <c r="B51" s="10" t="s">
        <v>30</v>
      </c>
      <c r="C51" s="11">
        <v>701267.87546475301</v>
      </c>
      <c r="D51" s="11">
        <v>760703.28015165601</v>
      </c>
    </row>
    <row r="52" spans="1:4" x14ac:dyDescent="0.25">
      <c r="A52" s="10">
        <v>2016</v>
      </c>
      <c r="B52" s="10" t="s">
        <v>31</v>
      </c>
      <c r="C52" s="11">
        <v>703825.31306672294</v>
      </c>
      <c r="D52" s="11">
        <v>694382.47577623103</v>
      </c>
    </row>
    <row r="53" spans="1:4" x14ac:dyDescent="0.25">
      <c r="A53" s="10">
        <v>2016</v>
      </c>
      <c r="B53" s="10" t="s">
        <v>32</v>
      </c>
      <c r="C53" s="11">
        <v>708107.57010202378</v>
      </c>
      <c r="D53" s="11">
        <v>693173.54934705805</v>
      </c>
    </row>
    <row r="54" spans="1:4" x14ac:dyDescent="0.25">
      <c r="A54" s="10">
        <v>2017</v>
      </c>
      <c r="B54" s="10" t="s">
        <v>29</v>
      </c>
      <c r="C54" s="11">
        <v>714000.68213478185</v>
      </c>
      <c r="D54" s="11">
        <v>681444.76611022197</v>
      </c>
    </row>
    <row r="55" spans="1:4" x14ac:dyDescent="0.25">
      <c r="A55" s="10">
        <v>2017</v>
      </c>
      <c r="B55" s="10" t="s">
        <v>30</v>
      </c>
      <c r="C55" s="11">
        <v>722206.78209549456</v>
      </c>
      <c r="D55" s="11">
        <v>778401.67644931702</v>
      </c>
    </row>
    <row r="56" spans="1:4" x14ac:dyDescent="0.25">
      <c r="A56" s="10">
        <v>2017</v>
      </c>
      <c r="B56" s="10" t="s">
        <v>31</v>
      </c>
      <c r="C56" s="11">
        <v>731022.65780373593</v>
      </c>
      <c r="D56" s="11">
        <v>721120.42685279401</v>
      </c>
    </row>
    <row r="57" spans="1:4" x14ac:dyDescent="0.25">
      <c r="A57" s="10">
        <v>2017</v>
      </c>
      <c r="B57" s="10" t="s">
        <v>32</v>
      </c>
      <c r="C57" s="11">
        <v>738329.66901728406</v>
      </c>
      <c r="D57" s="11">
        <v>724592.92163896305</v>
      </c>
    </row>
    <row r="58" spans="1:4" x14ac:dyDescent="0.25">
      <c r="A58" s="10">
        <v>2018</v>
      </c>
      <c r="B58" s="10" t="s">
        <v>29</v>
      </c>
      <c r="C58" s="11">
        <v>735269.26388700691</v>
      </c>
      <c r="D58" s="11">
        <v>707324.26805721398</v>
      </c>
    </row>
    <row r="59" spans="1:4" x14ac:dyDescent="0.25">
      <c r="A59" s="10">
        <v>2018</v>
      </c>
      <c r="B59" s="10" t="s">
        <v>30</v>
      </c>
      <c r="C59" s="11">
        <v>702794.19038738846</v>
      </c>
      <c r="D59" s="11">
        <v>747428.29995457502</v>
      </c>
    </row>
    <row r="60" spans="1:4" x14ac:dyDescent="0.25">
      <c r="A60" s="10">
        <v>2018</v>
      </c>
      <c r="B60" s="10" t="s">
        <v>31</v>
      </c>
      <c r="C60" s="11">
        <v>700585.06179718161</v>
      </c>
      <c r="D60" s="11">
        <v>696101.58352180803</v>
      </c>
    </row>
    <row r="61" spans="1:4" x14ac:dyDescent="0.25">
      <c r="A61" s="10">
        <v>2018</v>
      </c>
      <c r="B61" s="10" t="s">
        <v>32</v>
      </c>
      <c r="C61" s="11">
        <v>690861.25584647327</v>
      </c>
      <c r="D61" s="11">
        <v>678655.62038445403</v>
      </c>
    </row>
    <row r="62" spans="1:4" x14ac:dyDescent="0.25">
      <c r="A62" s="10">
        <v>2019</v>
      </c>
      <c r="B62" s="10" t="s">
        <v>29</v>
      </c>
      <c r="C62" s="11">
        <v>690992.53890621837</v>
      </c>
      <c r="D62">
        <v>665848.71529970889</v>
      </c>
    </row>
    <row r="63" spans="1:4" x14ac:dyDescent="0.25">
      <c r="A63" s="10">
        <v>2019</v>
      </c>
      <c r="B63" s="10" t="s">
        <v>30</v>
      </c>
      <c r="C63" s="11">
        <v>697721.48697133223</v>
      </c>
      <c r="D63">
        <v>751784.46077713254</v>
      </c>
    </row>
    <row r="64" spans="1:4" x14ac:dyDescent="0.25">
      <c r="A64" s="10">
        <v>2019</v>
      </c>
      <c r="B64" s="10" t="s">
        <v>31</v>
      </c>
      <c r="C64" s="11">
        <v>697245.70141462015</v>
      </c>
      <c r="D64">
        <v>683900.89855257841</v>
      </c>
    </row>
    <row r="65" spans="1:5" x14ac:dyDescent="0.25">
      <c r="A65" s="10">
        <v>2019</v>
      </c>
      <c r="B65" s="10" t="s">
        <v>32</v>
      </c>
      <c r="C65" s="11">
        <v>686935.48705966782</v>
      </c>
      <c r="D65">
        <v>671361.13972242002</v>
      </c>
    </row>
    <row r="66" spans="1:5" x14ac:dyDescent="0.25">
      <c r="A66" s="10">
        <v>2020</v>
      </c>
      <c r="B66" s="10" t="s">
        <v>29</v>
      </c>
      <c r="C66" s="10">
        <v>657234.36724165711</v>
      </c>
      <c r="D66" s="10">
        <v>632389.35353461001</v>
      </c>
    </row>
    <row r="67" spans="1:5" x14ac:dyDescent="0.25">
      <c r="A67" s="10">
        <v>2020</v>
      </c>
      <c r="B67" s="10" t="s">
        <v>30</v>
      </c>
      <c r="C67" s="10">
        <v>562000.89823407296</v>
      </c>
      <c r="D67" s="10">
        <v>609379.98946480127</v>
      </c>
    </row>
    <row r="68" spans="1:5" x14ac:dyDescent="0.25">
      <c r="A68" s="10">
        <v>2020</v>
      </c>
      <c r="B68" s="10" t="s">
        <v>31</v>
      </c>
      <c r="C68" s="10">
        <v>623856.36323480471</v>
      </c>
      <c r="D68" s="10">
        <v>614192.47840422287</v>
      </c>
    </row>
    <row r="69" spans="1:5" x14ac:dyDescent="0.25">
      <c r="A69" s="10">
        <v>2020</v>
      </c>
      <c r="B69" s="10" t="s">
        <v>32</v>
      </c>
      <c r="C69" s="10">
        <v>655273.51589104964</v>
      </c>
      <c r="D69" s="10">
        <v>642403.32319795026</v>
      </c>
    </row>
    <row r="70" spans="1:5" x14ac:dyDescent="0.25">
      <c r="A70" s="10">
        <v>2021</v>
      </c>
      <c r="B70" s="10" t="s">
        <v>29</v>
      </c>
      <c r="C70" s="10">
        <v>677518.09192361217</v>
      </c>
      <c r="D70">
        <v>652831.97670632158</v>
      </c>
    </row>
    <row r="71" spans="1:5" x14ac:dyDescent="0.25">
      <c r="A71" s="10">
        <v>2021</v>
      </c>
      <c r="B71" s="10" t="s">
        <v>30</v>
      </c>
      <c r="C71" s="10">
        <v>678667.84323796758</v>
      </c>
      <c r="D71">
        <v>723516.62249067484</v>
      </c>
    </row>
    <row r="72" spans="1:5" x14ac:dyDescent="0.25">
      <c r="A72" s="10">
        <v>2021</v>
      </c>
      <c r="B72" s="10" t="s">
        <v>31</v>
      </c>
      <c r="C72" s="10">
        <v>693508.41694142157</v>
      </c>
      <c r="D72" s="10">
        <v>686756.46782667423</v>
      </c>
    </row>
    <row r="73" spans="1:5" x14ac:dyDescent="0.25">
      <c r="A73" s="10">
        <v>2021</v>
      </c>
      <c r="B73" s="10" t="s">
        <v>32</v>
      </c>
      <c r="C73" s="10">
        <v>709545.38403278519</v>
      </c>
      <c r="D73" s="10">
        <v>696134.66911211505</v>
      </c>
    </row>
    <row r="74" spans="1:5" x14ac:dyDescent="0.25">
      <c r="A74" s="10">
        <v>2022</v>
      </c>
      <c r="B74" s="10" t="s">
        <v>29</v>
      </c>
      <c r="C74" s="10">
        <v>726994.4331088519</v>
      </c>
      <c r="D74">
        <v>697625.28466635814</v>
      </c>
    </row>
    <row r="75" spans="1:5" x14ac:dyDescent="0.25">
      <c r="A75" s="10">
        <v>2022</v>
      </c>
      <c r="B75" s="10" t="s">
        <v>30</v>
      </c>
      <c r="C75" s="10">
        <v>741461.96753675886</v>
      </c>
      <c r="D75">
        <v>782338.62853373506</v>
      </c>
    </row>
    <row r="76" spans="1:5" x14ac:dyDescent="0.25">
      <c r="A76" s="10">
        <v>2022</v>
      </c>
      <c r="B76" s="10" t="s">
        <v>31</v>
      </c>
      <c r="C76" s="10">
        <v>735869.56325702253</v>
      </c>
      <c r="D76" s="10">
        <v>732662.16387550125</v>
      </c>
    </row>
    <row r="77" spans="1:5" x14ac:dyDescent="0.25">
      <c r="A77" s="10">
        <v>2022</v>
      </c>
      <c r="B77" s="10" t="s">
        <v>32</v>
      </c>
      <c r="C77" s="10">
        <v>721040.57100169931</v>
      </c>
      <c r="D77" s="10">
        <v>712740.45782873826</v>
      </c>
    </row>
    <row r="78" spans="1:5" x14ac:dyDescent="0.25">
      <c r="A78" s="10">
        <v>2023</v>
      </c>
      <c r="B78" s="10" t="s">
        <v>29</v>
      </c>
      <c r="C78" s="10">
        <v>729079.81570524594</v>
      </c>
      <c r="D78" s="10">
        <v>704009.03517700161</v>
      </c>
      <c r="E78" s="38"/>
    </row>
    <row r="79" spans="1:5" x14ac:dyDescent="0.25">
      <c r="A79" s="10">
        <v>2023</v>
      </c>
      <c r="B79" s="10" t="s">
        <v>30</v>
      </c>
      <c r="C79" s="10">
        <v>709842.35270039842</v>
      </c>
      <c r="D79" s="10">
        <v>738128.41122730402</v>
      </c>
      <c r="E79" s="39"/>
    </row>
    <row r="80" spans="1:5" x14ac:dyDescent="0.25">
      <c r="A80" s="10">
        <v>2023</v>
      </c>
      <c r="B80" s="10" t="s">
        <v>31</v>
      </c>
      <c r="C80" s="10">
        <v>725214.64378983236</v>
      </c>
      <c r="D80" s="10">
        <v>728542.25584748655</v>
      </c>
      <c r="E80" s="39"/>
    </row>
    <row r="81" spans="1:4" x14ac:dyDescent="0.25">
      <c r="A81" s="10">
        <v>2023</v>
      </c>
      <c r="B81" s="10" t="s">
        <v>32</v>
      </c>
      <c r="C81" s="10">
        <v>707086.08875387569</v>
      </c>
      <c r="D81" s="10">
        <v>700543.19869756</v>
      </c>
    </row>
    <row r="82" spans="1:4" x14ac:dyDescent="0.25">
      <c r="A82" s="10">
        <v>2024</v>
      </c>
      <c r="B82" s="10" t="s">
        <v>29</v>
      </c>
      <c r="C82" s="10">
        <v>694486.09954866616</v>
      </c>
      <c r="D82" s="10">
        <v>668219.6308270538</v>
      </c>
    </row>
    <row r="83" spans="1:4" x14ac:dyDescent="0.25">
      <c r="A83" s="10">
        <v>2024</v>
      </c>
      <c r="B83" s="10" t="s">
        <v>30</v>
      </c>
      <c r="C83" s="10">
        <v>691468.75067544018</v>
      </c>
      <c r="D83">
        <v>729909.36871982319</v>
      </c>
    </row>
    <row r="84" spans="1:4" x14ac:dyDescent="0.25">
      <c r="A84" s="10">
        <v>2024</v>
      </c>
      <c r="B84" s="10" t="s">
        <v>31</v>
      </c>
      <c r="C84" s="10">
        <v>716166.17456055968</v>
      </c>
      <c r="D84">
        <v>714299.21795624029</v>
      </c>
    </row>
    <row r="85" spans="1:4" x14ac:dyDescent="0.25">
      <c r="A85" s="10">
        <v>2024</v>
      </c>
      <c r="B85" s="10" t="s">
        <v>32</v>
      </c>
      <c r="C85" s="10">
        <v>729830.51344938693</v>
      </c>
      <c r="D85" s="10">
        <v>719523.32073093485</v>
      </c>
    </row>
    <row r="86" spans="1:4" x14ac:dyDescent="0.25">
      <c r="A86" s="10">
        <v>2025</v>
      </c>
      <c r="B86" s="10" t="s">
        <v>29</v>
      </c>
      <c r="C86" s="10">
        <v>735468.22118616325</v>
      </c>
      <c r="D86" s="10">
        <v>709095.12469662423</v>
      </c>
    </row>
    <row r="87" spans="1:4" x14ac:dyDescent="0.25">
      <c r="A87" s="10">
        <v>2025</v>
      </c>
      <c r="B87" s="10" t="s">
        <v>30</v>
      </c>
      <c r="C87" s="10">
        <v>737703.22646665608</v>
      </c>
      <c r="D87" s="10">
        <v>777482.55560690013</v>
      </c>
    </row>
    <row r="88" spans="1:4" x14ac:dyDescent="0.25">
      <c r="A88" s="10">
        <v>2025</v>
      </c>
      <c r="B88" s="10" t="s">
        <v>31</v>
      </c>
      <c r="C88" s="10">
        <v>738582.97927448282</v>
      </c>
      <c r="D88">
        <v>737135.06767770939</v>
      </c>
    </row>
    <row r="89" spans="1:4" x14ac:dyDescent="0.25">
      <c r="A89" s="10">
        <v>2025</v>
      </c>
      <c r="B89" s="10" t="s">
        <v>32</v>
      </c>
      <c r="C89" s="10">
        <v>747160.42718325544</v>
      </c>
      <c r="D89">
        <v>735202.10550800152</v>
      </c>
    </row>
    <row r="90" spans="1:4" x14ac:dyDescent="0.25">
      <c r="A90" s="10">
        <v>2026</v>
      </c>
      <c r="B90" s="10" t="s">
        <v>29</v>
      </c>
      <c r="C90" s="10">
        <v>752727.87372926541</v>
      </c>
      <c r="D90" s="10">
        <v>725600.2445682534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zoomScaleNormal="100" workbookViewId="0"/>
  </sheetViews>
  <sheetFormatPr baseColWidth="10" defaultColWidth="10.7109375" defaultRowHeight="15" x14ac:dyDescent="0.25"/>
  <cols>
    <col min="1" max="1" width="32.28515625" customWidth="1"/>
  </cols>
  <sheetData>
    <row r="1" spans="1:5" x14ac:dyDescent="0.25">
      <c r="A1" t="s">
        <v>33</v>
      </c>
      <c r="B1" s="51" t="s">
        <v>34</v>
      </c>
      <c r="C1" s="51"/>
      <c r="D1" s="51" t="s">
        <v>35</v>
      </c>
      <c r="E1" s="51"/>
    </row>
    <row r="2" spans="1:5" x14ac:dyDescent="0.25">
      <c r="B2" t="s">
        <v>36</v>
      </c>
      <c r="C2" t="s">
        <v>37</v>
      </c>
      <c r="D2" t="s">
        <v>36</v>
      </c>
      <c r="E2" t="s">
        <v>37</v>
      </c>
    </row>
    <row r="3" spans="1:5" x14ac:dyDescent="0.25">
      <c r="A3" s="12" t="s">
        <v>38</v>
      </c>
      <c r="B3">
        <v>21</v>
      </c>
      <c r="C3">
        <v>28.2</v>
      </c>
      <c r="D3">
        <v>4.8</v>
      </c>
      <c r="E3">
        <v>6.3</v>
      </c>
    </row>
    <row r="4" spans="1:5" x14ac:dyDescent="0.25">
      <c r="A4" t="s">
        <v>39</v>
      </c>
      <c r="B4">
        <v>7.3</v>
      </c>
      <c r="C4">
        <v>9.6</v>
      </c>
      <c r="D4">
        <v>2.2000000000000002</v>
      </c>
      <c r="E4">
        <v>2.6</v>
      </c>
    </row>
    <row r="5" spans="1:5" x14ac:dyDescent="0.25">
      <c r="A5" t="s">
        <v>40</v>
      </c>
      <c r="B5">
        <v>25.5</v>
      </c>
      <c r="C5">
        <v>32.6</v>
      </c>
      <c r="D5">
        <v>6.3</v>
      </c>
      <c r="E5">
        <v>8</v>
      </c>
    </row>
    <row r="6" spans="1:5" x14ac:dyDescent="0.25">
      <c r="A6" t="s">
        <v>216</v>
      </c>
      <c r="B6">
        <v>23.5</v>
      </c>
      <c r="C6">
        <v>31.9</v>
      </c>
      <c r="D6">
        <v>4.4000000000000004</v>
      </c>
      <c r="E6">
        <v>5.5</v>
      </c>
    </row>
    <row r="7" spans="1:5" x14ac:dyDescent="0.25">
      <c r="A7" t="s">
        <v>217</v>
      </c>
      <c r="B7">
        <v>25.5</v>
      </c>
      <c r="C7">
        <v>34</v>
      </c>
      <c r="D7">
        <v>2.9</v>
      </c>
      <c r="E7">
        <v>3.4</v>
      </c>
    </row>
    <row r="8" spans="1:5" x14ac:dyDescent="0.25">
      <c r="A8" t="s">
        <v>41</v>
      </c>
      <c r="B8">
        <v>23.2</v>
      </c>
      <c r="C8">
        <v>30.1</v>
      </c>
      <c r="D8">
        <v>2.6</v>
      </c>
      <c r="E8">
        <v>3.4</v>
      </c>
    </row>
    <row r="9" spans="1:5" x14ac:dyDescent="0.25">
      <c r="A9" t="s">
        <v>42</v>
      </c>
      <c r="B9">
        <v>23.5</v>
      </c>
      <c r="C9">
        <v>31.3</v>
      </c>
      <c r="D9">
        <v>5.6</v>
      </c>
      <c r="E9">
        <v>7.6</v>
      </c>
    </row>
    <row r="10" spans="1:5" x14ac:dyDescent="0.25">
      <c r="A10" t="s">
        <v>43</v>
      </c>
      <c r="B10">
        <v>19.7</v>
      </c>
      <c r="C10">
        <v>27.9</v>
      </c>
      <c r="D10">
        <v>2.7</v>
      </c>
      <c r="E10">
        <v>4.5999999999999996</v>
      </c>
    </row>
    <row r="11" spans="1:5" x14ac:dyDescent="0.25">
      <c r="A11" t="s">
        <v>218</v>
      </c>
      <c r="B11">
        <v>34</v>
      </c>
      <c r="C11">
        <v>42.2</v>
      </c>
      <c r="D11">
        <v>10.6</v>
      </c>
      <c r="E11">
        <v>13.2</v>
      </c>
    </row>
    <row r="12" spans="1:5" x14ac:dyDescent="0.25">
      <c r="A12" t="s">
        <v>44</v>
      </c>
      <c r="B12">
        <v>22.2</v>
      </c>
      <c r="C12">
        <v>27.3</v>
      </c>
      <c r="D12">
        <v>2.9</v>
      </c>
      <c r="E12">
        <v>3.2</v>
      </c>
    </row>
    <row r="13" spans="1:5" x14ac:dyDescent="0.25">
      <c r="A13" t="s">
        <v>45</v>
      </c>
      <c r="B13">
        <v>26.9</v>
      </c>
      <c r="C13" s="28">
        <v>35.700000000000003</v>
      </c>
      <c r="D13">
        <v>3.7</v>
      </c>
      <c r="E13">
        <v>4.5999999999999996</v>
      </c>
    </row>
    <row r="14" spans="1:5" x14ac:dyDescent="0.25">
      <c r="A14" t="s">
        <v>46</v>
      </c>
      <c r="B14">
        <v>17.8</v>
      </c>
      <c r="C14">
        <v>23.6</v>
      </c>
      <c r="D14">
        <v>2.6</v>
      </c>
      <c r="E14">
        <v>3.2</v>
      </c>
    </row>
    <row r="15" spans="1:5" x14ac:dyDescent="0.25">
      <c r="A15" t="s">
        <v>47</v>
      </c>
      <c r="B15">
        <v>20.3</v>
      </c>
      <c r="C15">
        <v>26.6</v>
      </c>
      <c r="D15">
        <v>2.9</v>
      </c>
      <c r="E15">
        <v>4</v>
      </c>
    </row>
    <row r="16" spans="1:5" x14ac:dyDescent="0.25">
      <c r="A16" t="s">
        <v>48</v>
      </c>
      <c r="B16">
        <v>26.2</v>
      </c>
      <c r="C16">
        <v>36.700000000000003</v>
      </c>
      <c r="D16">
        <v>3.6</v>
      </c>
      <c r="E16">
        <v>5.0999999999999996</v>
      </c>
    </row>
    <row r="17" spans="1:5" x14ac:dyDescent="0.25">
      <c r="A17" t="s">
        <v>49</v>
      </c>
      <c r="B17">
        <v>22.5</v>
      </c>
      <c r="C17">
        <v>29.7</v>
      </c>
      <c r="D17">
        <v>3.9</v>
      </c>
      <c r="E17">
        <v>3.9</v>
      </c>
    </row>
    <row r="18" spans="1:5" x14ac:dyDescent="0.25">
      <c r="A18" t="s">
        <v>219</v>
      </c>
      <c r="B18">
        <v>20.6</v>
      </c>
      <c r="C18">
        <v>29.4</v>
      </c>
      <c r="D18">
        <v>2.2999999999999998</v>
      </c>
      <c r="E18">
        <v>3.8</v>
      </c>
    </row>
    <row r="19" spans="1:5" x14ac:dyDescent="0.25">
      <c r="A19" t="s">
        <v>50</v>
      </c>
      <c r="B19">
        <v>15.4</v>
      </c>
      <c r="C19">
        <v>22.6</v>
      </c>
      <c r="D19">
        <v>4.3</v>
      </c>
      <c r="E19">
        <v>7.1</v>
      </c>
    </row>
    <row r="20" spans="1:5" x14ac:dyDescent="0.25">
      <c r="A20" t="s">
        <v>220</v>
      </c>
      <c r="B20">
        <v>39.299999999999997</v>
      </c>
      <c r="C20">
        <v>49.9</v>
      </c>
      <c r="D20">
        <v>9.8000000000000007</v>
      </c>
      <c r="E20">
        <v>13.6</v>
      </c>
    </row>
    <row r="21" spans="1:5" x14ac:dyDescent="0.25">
      <c r="A21" t="s">
        <v>51</v>
      </c>
      <c r="B21">
        <v>16.8</v>
      </c>
      <c r="C21">
        <v>23.2</v>
      </c>
      <c r="D21">
        <v>3.6</v>
      </c>
      <c r="E21">
        <v>4.3</v>
      </c>
    </row>
    <row r="22" spans="1:5" x14ac:dyDescent="0.25">
      <c r="A22" t="s">
        <v>52</v>
      </c>
      <c r="B22">
        <v>23.6</v>
      </c>
      <c r="C22">
        <v>31.5</v>
      </c>
      <c r="D22">
        <v>6.5</v>
      </c>
      <c r="E22">
        <v>9</v>
      </c>
    </row>
    <row r="23" spans="1:5" x14ac:dyDescent="0.25">
      <c r="A23" t="s">
        <v>53</v>
      </c>
      <c r="B23">
        <v>16.600000000000001</v>
      </c>
      <c r="C23">
        <v>22.3</v>
      </c>
      <c r="D23">
        <v>3.1</v>
      </c>
      <c r="E23">
        <v>3.9</v>
      </c>
    </row>
    <row r="24" spans="1:5" x14ac:dyDescent="0.25">
      <c r="A24" t="s">
        <v>221</v>
      </c>
      <c r="B24">
        <v>21.7</v>
      </c>
      <c r="C24">
        <v>31.1</v>
      </c>
      <c r="D24">
        <v>6.2</v>
      </c>
      <c r="E24">
        <v>8.8000000000000007</v>
      </c>
    </row>
    <row r="25" spans="1:5" x14ac:dyDescent="0.25">
      <c r="A25" t="s">
        <v>54</v>
      </c>
      <c r="B25">
        <v>22.8</v>
      </c>
      <c r="C25">
        <v>30.6</v>
      </c>
      <c r="D25">
        <v>6.8</v>
      </c>
      <c r="E25">
        <v>9.3000000000000007</v>
      </c>
    </row>
    <row r="26" spans="1:5" x14ac:dyDescent="0.25">
      <c r="A26" t="s">
        <v>55</v>
      </c>
      <c r="B26">
        <v>17.899999999999999</v>
      </c>
      <c r="C26">
        <v>22.8</v>
      </c>
      <c r="D26">
        <v>4.3</v>
      </c>
      <c r="E26">
        <v>5.2</v>
      </c>
    </row>
    <row r="27" spans="1:5" x14ac:dyDescent="0.25">
      <c r="A27" t="s">
        <v>56</v>
      </c>
      <c r="B27">
        <v>17.2</v>
      </c>
      <c r="C27">
        <v>22.8</v>
      </c>
      <c r="D27">
        <v>3.1</v>
      </c>
      <c r="E27">
        <v>3</v>
      </c>
    </row>
    <row r="28" spans="1:5" x14ac:dyDescent="0.25">
      <c r="A28" t="s">
        <v>57</v>
      </c>
      <c r="B28">
        <v>17.2</v>
      </c>
      <c r="C28">
        <v>25.6</v>
      </c>
      <c r="D28">
        <v>5.0999999999999996</v>
      </c>
      <c r="E28">
        <v>8.6999999999999993</v>
      </c>
    </row>
    <row r="29" spans="1:5" x14ac:dyDescent="0.25">
      <c r="A29" t="s">
        <v>222</v>
      </c>
      <c r="B29">
        <v>25</v>
      </c>
      <c r="C29">
        <v>33.799999999999997</v>
      </c>
      <c r="D29">
        <v>6.6</v>
      </c>
      <c r="E29">
        <v>8.9</v>
      </c>
    </row>
    <row r="30" spans="1:5" x14ac:dyDescent="0.25">
      <c r="A30" t="s">
        <v>58</v>
      </c>
      <c r="B30">
        <v>19</v>
      </c>
      <c r="C30">
        <v>27.1</v>
      </c>
      <c r="D30">
        <v>3.6</v>
      </c>
      <c r="E30">
        <v>4.3</v>
      </c>
    </row>
    <row r="31" spans="1:5" x14ac:dyDescent="0.25">
      <c r="A31" t="s">
        <v>223</v>
      </c>
      <c r="B31">
        <v>18.3</v>
      </c>
      <c r="C31">
        <v>22.4</v>
      </c>
      <c r="D31">
        <v>3.2</v>
      </c>
      <c r="E31">
        <v>2.7</v>
      </c>
    </row>
    <row r="32" spans="1:5" x14ac:dyDescent="0.25">
      <c r="A32" t="s">
        <v>59</v>
      </c>
      <c r="B32">
        <v>16.5</v>
      </c>
      <c r="C32">
        <v>23.6</v>
      </c>
      <c r="D32">
        <v>4.4000000000000004</v>
      </c>
      <c r="E32">
        <v>4.3</v>
      </c>
    </row>
    <row r="33" spans="1:5" x14ac:dyDescent="0.25">
      <c r="A33" t="s">
        <v>60</v>
      </c>
      <c r="B33">
        <v>16.2</v>
      </c>
      <c r="C33">
        <v>22.6</v>
      </c>
      <c r="D33">
        <v>3.4</v>
      </c>
      <c r="E33">
        <v>4.3</v>
      </c>
    </row>
    <row r="34" spans="1:5" x14ac:dyDescent="0.25">
      <c r="A34" t="s">
        <v>224</v>
      </c>
      <c r="B34">
        <v>25.4</v>
      </c>
      <c r="C34">
        <v>32.9</v>
      </c>
      <c r="D34">
        <v>4.0999999999999996</v>
      </c>
      <c r="E34">
        <v>5.9</v>
      </c>
    </row>
    <row r="35" spans="1:5" x14ac:dyDescent="0.25">
      <c r="A35" t="s">
        <v>61</v>
      </c>
      <c r="B35">
        <v>19.8</v>
      </c>
      <c r="C35">
        <v>26.5</v>
      </c>
      <c r="D35">
        <v>2</v>
      </c>
      <c r="E35">
        <v>3.2</v>
      </c>
    </row>
  </sheetData>
  <mergeCells count="2">
    <mergeCell ref="B1:C1"/>
    <mergeCell ref="D1:E1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zoomScaleNormal="100" workbookViewId="0">
      <selection activeCell="B3" sqref="B3:E3"/>
    </sheetView>
  </sheetViews>
  <sheetFormatPr baseColWidth="10" defaultColWidth="10.7109375" defaultRowHeight="15" x14ac:dyDescent="0.25"/>
  <cols>
    <col min="1" max="1" width="19" customWidth="1"/>
  </cols>
  <sheetData>
    <row r="1" spans="1:5" x14ac:dyDescent="0.25">
      <c r="A1" t="s">
        <v>33</v>
      </c>
      <c r="B1" s="51" t="s">
        <v>34</v>
      </c>
      <c r="C1" s="51"/>
      <c r="D1" s="51" t="s">
        <v>35</v>
      </c>
      <c r="E1" s="51"/>
    </row>
    <row r="2" spans="1:5" x14ac:dyDescent="0.25">
      <c r="B2" t="s">
        <v>36</v>
      </c>
      <c r="C2" t="s">
        <v>37</v>
      </c>
      <c r="D2" t="s">
        <v>36</v>
      </c>
      <c r="E2" t="s">
        <v>37</v>
      </c>
    </row>
    <row r="3" spans="1:5" x14ac:dyDescent="0.25">
      <c r="A3" t="s">
        <v>62</v>
      </c>
      <c r="B3">
        <v>21</v>
      </c>
      <c r="C3">
        <v>28.2</v>
      </c>
      <c r="D3">
        <v>4.8</v>
      </c>
      <c r="E3">
        <v>6.3</v>
      </c>
    </row>
    <row r="4" spans="1:5" x14ac:dyDescent="0.25">
      <c r="A4" t="s">
        <v>10</v>
      </c>
      <c r="B4">
        <v>24</v>
      </c>
      <c r="C4">
        <v>32.299999999999997</v>
      </c>
      <c r="D4">
        <v>3.7</v>
      </c>
      <c r="E4">
        <v>4.5999999999999996</v>
      </c>
    </row>
    <row r="5" spans="1:5" x14ac:dyDescent="0.25">
      <c r="A5" t="s">
        <v>63</v>
      </c>
      <c r="B5">
        <v>21.2</v>
      </c>
      <c r="C5">
        <v>28.3</v>
      </c>
      <c r="D5">
        <v>5.4</v>
      </c>
      <c r="E5">
        <v>7</v>
      </c>
    </row>
    <row r="6" spans="1:5" x14ac:dyDescent="0.25">
      <c r="A6" t="s">
        <v>8</v>
      </c>
      <c r="B6">
        <v>25.5</v>
      </c>
      <c r="C6">
        <v>32.700000000000003</v>
      </c>
      <c r="D6">
        <v>5.8</v>
      </c>
      <c r="E6">
        <v>7.5</v>
      </c>
    </row>
    <row r="7" spans="1:5" x14ac:dyDescent="0.25">
      <c r="A7" t="s">
        <v>9</v>
      </c>
      <c r="B7">
        <v>21.1</v>
      </c>
      <c r="C7">
        <v>28.4</v>
      </c>
      <c r="D7">
        <v>3.1</v>
      </c>
      <c r="E7">
        <v>3.8</v>
      </c>
    </row>
    <row r="8" spans="1:5" x14ac:dyDescent="0.25">
      <c r="A8" t="s">
        <v>64</v>
      </c>
      <c r="B8">
        <v>19.3</v>
      </c>
      <c r="C8">
        <v>26.2</v>
      </c>
      <c r="D8">
        <v>4.7</v>
      </c>
      <c r="E8">
        <v>6.2</v>
      </c>
    </row>
    <row r="9" spans="1:5" x14ac:dyDescent="0.25">
      <c r="A9" t="s">
        <v>65</v>
      </c>
      <c r="B9">
        <v>19</v>
      </c>
      <c r="C9">
        <v>25.4</v>
      </c>
      <c r="D9">
        <v>3.5</v>
      </c>
      <c r="E9">
        <v>4</v>
      </c>
    </row>
  </sheetData>
  <mergeCells count="2">
    <mergeCell ref="B1:C1"/>
    <mergeCell ref="D1:E1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zoomScaleNormal="100" workbookViewId="0">
      <selection activeCell="B2" sqref="B2:C27"/>
    </sheetView>
  </sheetViews>
  <sheetFormatPr baseColWidth="10" defaultColWidth="10.7109375" defaultRowHeight="15" x14ac:dyDescent="0.25"/>
  <cols>
    <col min="1" max="1" width="11.42578125" customWidth="1"/>
  </cols>
  <sheetData>
    <row r="1" spans="1:4" x14ac:dyDescent="0.25">
      <c r="A1" t="s">
        <v>66</v>
      </c>
      <c r="B1" t="s">
        <v>67</v>
      </c>
      <c r="C1" t="s">
        <v>68</v>
      </c>
      <c r="D1" t="s">
        <v>69</v>
      </c>
    </row>
    <row r="2" spans="1:4" x14ac:dyDescent="0.25">
      <c r="A2" s="31" t="s">
        <v>70</v>
      </c>
      <c r="B2" s="46">
        <v>10131.835788459999</v>
      </c>
      <c r="C2" s="46">
        <v>12382.20280524</v>
      </c>
      <c r="D2" s="27">
        <f>B2-C2</f>
        <v>-2250.367016780001</v>
      </c>
    </row>
    <row r="3" spans="1:4" x14ac:dyDescent="0.25">
      <c r="A3" s="32" t="s">
        <v>203</v>
      </c>
      <c r="B3" s="42">
        <v>7386.56491147</v>
      </c>
      <c r="C3" s="42">
        <v>9135.5407090499994</v>
      </c>
      <c r="D3" s="27">
        <f t="shared" ref="D3:D27" si="0">B3-C3</f>
        <v>-1748.9757975799994</v>
      </c>
    </row>
    <row r="4" spans="1:4" x14ac:dyDescent="0.25">
      <c r="A4" s="32" t="s">
        <v>208</v>
      </c>
      <c r="B4" s="42">
        <v>1046.4819220100001</v>
      </c>
      <c r="C4" s="42">
        <v>2905.88218284</v>
      </c>
      <c r="D4" s="27">
        <f t="shared" si="0"/>
        <v>-1859.40026083</v>
      </c>
    </row>
    <row r="5" spans="1:4" x14ac:dyDescent="0.25">
      <c r="A5" s="32" t="s">
        <v>209</v>
      </c>
      <c r="B5" s="42">
        <v>1352.6515661799999</v>
      </c>
      <c r="C5" s="42">
        <v>335.50739291000002</v>
      </c>
      <c r="D5" s="27">
        <f t="shared" si="0"/>
        <v>1017.1441732699999</v>
      </c>
    </row>
    <row r="6" spans="1:4" x14ac:dyDescent="0.25">
      <c r="A6" s="31" t="s">
        <v>72</v>
      </c>
      <c r="B6" s="46">
        <v>7276.7667382099999</v>
      </c>
      <c r="C6" s="46">
        <v>1336.49858073</v>
      </c>
      <c r="D6" s="27">
        <f t="shared" si="0"/>
        <v>5940.2681574799999</v>
      </c>
    </row>
    <row r="7" spans="1:4" x14ac:dyDescent="0.25">
      <c r="A7" s="32" t="s">
        <v>71</v>
      </c>
      <c r="B7" s="42">
        <v>3787.38927302</v>
      </c>
      <c r="C7" s="42">
        <v>522.54152991000001</v>
      </c>
      <c r="D7" s="27">
        <f t="shared" si="0"/>
        <v>3264.84774311</v>
      </c>
    </row>
    <row r="8" spans="1:4" x14ac:dyDescent="0.25">
      <c r="A8" s="32" t="s">
        <v>204</v>
      </c>
      <c r="B8" s="42">
        <v>1741.6900650600001</v>
      </c>
      <c r="C8" s="42">
        <v>175.76956447000001</v>
      </c>
      <c r="D8" s="27">
        <f t="shared" si="0"/>
        <v>1565.9205005900001</v>
      </c>
    </row>
    <row r="9" spans="1:4" x14ac:dyDescent="0.25">
      <c r="A9" s="31" t="s">
        <v>175</v>
      </c>
      <c r="B9" s="46">
        <v>7243.4021109400001</v>
      </c>
      <c r="C9" s="46">
        <v>5225.90957196</v>
      </c>
      <c r="D9" s="27">
        <f t="shared" si="0"/>
        <v>2017.4925389800001</v>
      </c>
    </row>
    <row r="10" spans="1:4" x14ac:dyDescent="0.25">
      <c r="A10" s="32" t="s">
        <v>205</v>
      </c>
      <c r="B10" s="42">
        <v>5970.7614276200002</v>
      </c>
      <c r="C10" s="42">
        <v>3967.0999705899999</v>
      </c>
      <c r="D10" s="27">
        <f t="shared" si="0"/>
        <v>2003.6614570300003</v>
      </c>
    </row>
    <row r="11" spans="1:4" x14ac:dyDescent="0.25">
      <c r="A11" s="31" t="s">
        <v>176</v>
      </c>
      <c r="B11" s="46">
        <v>5199.1678182699998</v>
      </c>
      <c r="C11" s="46">
        <v>5782.4787789499997</v>
      </c>
      <c r="D11" s="27">
        <f t="shared" si="0"/>
        <v>-583.31096067999988</v>
      </c>
    </row>
    <row r="12" spans="1:4" x14ac:dyDescent="0.25">
      <c r="A12" s="32" t="s">
        <v>212</v>
      </c>
      <c r="B12" s="42">
        <v>659.46119262000002</v>
      </c>
      <c r="C12" s="42">
        <v>1798.04473865</v>
      </c>
      <c r="D12" s="27">
        <f t="shared" si="0"/>
        <v>-1138.58354603</v>
      </c>
    </row>
    <row r="13" spans="1:4" x14ac:dyDescent="0.25">
      <c r="A13" s="32" t="s">
        <v>213</v>
      </c>
      <c r="B13" s="42">
        <v>923.75633140000002</v>
      </c>
      <c r="C13" s="42">
        <v>593.88788952000004</v>
      </c>
      <c r="D13" s="27">
        <f t="shared" si="0"/>
        <v>329.86844187999998</v>
      </c>
    </row>
    <row r="14" spans="1:4" x14ac:dyDescent="0.25">
      <c r="A14" s="32" t="s">
        <v>214</v>
      </c>
      <c r="B14" s="42">
        <v>597.18803424999999</v>
      </c>
      <c r="C14" s="42">
        <v>878.77091515999996</v>
      </c>
      <c r="D14" s="27">
        <f t="shared" si="0"/>
        <v>-281.58288090999997</v>
      </c>
    </row>
    <row r="15" spans="1:4" x14ac:dyDescent="0.25">
      <c r="A15" s="32" t="s">
        <v>215</v>
      </c>
      <c r="B15" s="42">
        <v>1135.45100806</v>
      </c>
      <c r="C15" s="42">
        <v>190.25197933000001</v>
      </c>
      <c r="D15" s="27">
        <f t="shared" si="0"/>
        <v>945.19902873000001</v>
      </c>
    </row>
    <row r="16" spans="1:4" x14ac:dyDescent="0.25">
      <c r="A16" s="31" t="s">
        <v>74</v>
      </c>
      <c r="B16" s="46">
        <v>5589.1728557099996</v>
      </c>
      <c r="C16" s="46">
        <v>9494.7219496399994</v>
      </c>
      <c r="D16" s="27">
        <f t="shared" si="0"/>
        <v>-3905.5490939299998</v>
      </c>
    </row>
    <row r="17" spans="1:4" x14ac:dyDescent="0.25">
      <c r="A17" s="31" t="s">
        <v>75</v>
      </c>
      <c r="B17" s="46">
        <v>3684.9481077599999</v>
      </c>
      <c r="C17" s="46">
        <v>649.82246679000002</v>
      </c>
      <c r="D17" s="27">
        <f t="shared" si="0"/>
        <v>3035.1256409699999</v>
      </c>
    </row>
    <row r="18" spans="1:4" x14ac:dyDescent="0.25">
      <c r="A18" s="31" t="s">
        <v>73</v>
      </c>
      <c r="B18" s="46">
        <v>5318.7616484999999</v>
      </c>
      <c r="C18" s="46">
        <v>2310.8556745300002</v>
      </c>
      <c r="D18" s="27">
        <f t="shared" si="0"/>
        <v>3007.9059739699996</v>
      </c>
    </row>
    <row r="19" spans="1:4" x14ac:dyDescent="0.25">
      <c r="A19" s="32" t="s">
        <v>207</v>
      </c>
      <c r="B19" s="42">
        <v>863.06267104999995</v>
      </c>
      <c r="C19" s="42">
        <v>238.04602537</v>
      </c>
      <c r="D19" s="27">
        <f t="shared" si="0"/>
        <v>625.01664568000001</v>
      </c>
    </row>
    <row r="20" spans="1:4" x14ac:dyDescent="0.25">
      <c r="A20" s="32" t="s">
        <v>210</v>
      </c>
      <c r="B20" s="42">
        <v>909.10152768</v>
      </c>
      <c r="C20" s="42">
        <v>134.54632391000001</v>
      </c>
      <c r="D20" s="27">
        <f t="shared" si="0"/>
        <v>774.55520376999993</v>
      </c>
    </row>
    <row r="21" spans="1:4" x14ac:dyDescent="0.25">
      <c r="A21" s="32" t="s">
        <v>211</v>
      </c>
      <c r="B21" s="42">
        <v>991.09674127999995</v>
      </c>
      <c r="C21" s="42">
        <v>1185.1922510899999</v>
      </c>
      <c r="D21" s="27">
        <f t="shared" si="0"/>
        <v>-194.09550980999995</v>
      </c>
    </row>
    <row r="22" spans="1:4" x14ac:dyDescent="0.25">
      <c r="A22" s="32" t="s">
        <v>206</v>
      </c>
      <c r="B22" s="42">
        <v>2104.22535883</v>
      </c>
      <c r="C22" s="42">
        <v>570.53177382000001</v>
      </c>
      <c r="D22" s="27">
        <f t="shared" si="0"/>
        <v>1533.6935850099999</v>
      </c>
    </row>
    <row r="23" spans="1:4" x14ac:dyDescent="0.25">
      <c r="A23" s="31" t="s">
        <v>76</v>
      </c>
      <c r="B23" s="46">
        <v>2974.4506729999998</v>
      </c>
      <c r="C23" s="46">
        <v>268.65412280999999</v>
      </c>
      <c r="D23" s="27">
        <f t="shared" si="0"/>
        <v>2705.7965501899998</v>
      </c>
    </row>
    <row r="24" spans="1:4" x14ac:dyDescent="0.25">
      <c r="A24" s="31" t="s">
        <v>77</v>
      </c>
      <c r="B24" s="46">
        <v>2576.3643842800002</v>
      </c>
      <c r="C24" s="46">
        <v>367.98612315999998</v>
      </c>
      <c r="D24" s="27">
        <f t="shared" si="0"/>
        <v>2208.3782611200004</v>
      </c>
    </row>
    <row r="25" spans="1:4" x14ac:dyDescent="0.25">
      <c r="A25" s="24" t="s">
        <v>78</v>
      </c>
      <c r="B25" s="46">
        <v>199.64993278</v>
      </c>
      <c r="C25" s="46">
        <v>126.95507979999999</v>
      </c>
      <c r="D25" s="27">
        <f t="shared" si="0"/>
        <v>72.694852980000007</v>
      </c>
    </row>
    <row r="26" spans="1:4" x14ac:dyDescent="0.25">
      <c r="A26" s="24" t="s">
        <v>79</v>
      </c>
      <c r="B26" s="46">
        <v>606.94943167999998</v>
      </c>
      <c r="C26" s="46">
        <v>201.79184792000001</v>
      </c>
      <c r="D26" s="27">
        <f t="shared" si="0"/>
        <v>405.15758375999997</v>
      </c>
    </row>
    <row r="27" spans="1:4" x14ac:dyDescent="0.25">
      <c r="A27" s="26" t="s">
        <v>80</v>
      </c>
      <c r="B27" s="47">
        <v>7563.7167973200003</v>
      </c>
      <c r="C27" s="47">
        <v>4137.7659778699999</v>
      </c>
      <c r="D27" s="27">
        <f t="shared" si="0"/>
        <v>3425.9508194500004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C2F3-2F50-487E-8AA2-1FC33A905845}">
  <dimension ref="A1:D53"/>
  <sheetViews>
    <sheetView workbookViewId="0">
      <selection activeCell="B2" sqref="B2:B53"/>
    </sheetView>
  </sheetViews>
  <sheetFormatPr baseColWidth="10" defaultRowHeight="15" x14ac:dyDescent="0.25"/>
  <cols>
    <col min="1" max="1" width="37.42578125" customWidth="1"/>
  </cols>
  <sheetData>
    <row r="1" spans="1:4" x14ac:dyDescent="0.25">
      <c r="A1" s="10" t="s">
        <v>174</v>
      </c>
      <c r="B1" s="10" t="s">
        <v>82</v>
      </c>
    </row>
    <row r="2" spans="1:4" x14ac:dyDescent="0.25">
      <c r="A2" s="25" t="s">
        <v>172</v>
      </c>
      <c r="B2" s="48">
        <v>58365.18628691</v>
      </c>
      <c r="D2" s="29"/>
    </row>
    <row r="3" spans="1:4" x14ac:dyDescent="0.25">
      <c r="A3" s="24" t="s">
        <v>168</v>
      </c>
      <c r="B3" s="48">
        <v>14749.46763087</v>
      </c>
      <c r="D3" s="29"/>
    </row>
    <row r="4" spans="1:4" x14ac:dyDescent="0.25">
      <c r="A4" s="22" t="s">
        <v>121</v>
      </c>
      <c r="B4" s="49">
        <v>18.157807630000001</v>
      </c>
      <c r="D4" s="30"/>
    </row>
    <row r="5" spans="1:4" x14ac:dyDescent="0.25">
      <c r="A5" s="22" t="s">
        <v>122</v>
      </c>
      <c r="B5" s="49">
        <v>1256.8318682199999</v>
      </c>
      <c r="D5" s="30"/>
    </row>
    <row r="6" spans="1:4" x14ac:dyDescent="0.25">
      <c r="A6" s="22" t="s">
        <v>123</v>
      </c>
      <c r="B6" s="49">
        <v>201.09731998000001</v>
      </c>
      <c r="D6" s="30"/>
    </row>
    <row r="7" spans="1:4" x14ac:dyDescent="0.25">
      <c r="A7" s="22" t="s">
        <v>124</v>
      </c>
      <c r="B7" s="49">
        <v>470.26634000000001</v>
      </c>
      <c r="D7" s="30"/>
    </row>
    <row r="8" spans="1:4" x14ac:dyDescent="0.25">
      <c r="A8" s="22" t="s">
        <v>125</v>
      </c>
      <c r="B8" s="49">
        <v>509.21601561</v>
      </c>
      <c r="D8" s="30"/>
    </row>
    <row r="9" spans="1:4" x14ac:dyDescent="0.25">
      <c r="A9" s="22" t="s">
        <v>126</v>
      </c>
      <c r="B9" s="49">
        <v>8762.7264263800007</v>
      </c>
      <c r="D9" s="30"/>
    </row>
    <row r="10" spans="1:4" x14ac:dyDescent="0.25">
      <c r="A10" s="22" t="s">
        <v>127</v>
      </c>
      <c r="B10" s="49">
        <v>2444.2489930800002</v>
      </c>
      <c r="D10" s="30"/>
    </row>
    <row r="11" spans="1:4" x14ac:dyDescent="0.25">
      <c r="A11" s="22" t="s">
        <v>128</v>
      </c>
      <c r="B11" s="49">
        <v>156.34153777</v>
      </c>
      <c r="D11" s="30"/>
    </row>
    <row r="12" spans="1:4" x14ac:dyDescent="0.25">
      <c r="A12" s="22" t="s">
        <v>129</v>
      </c>
      <c r="B12" s="49">
        <v>60.934622490000002</v>
      </c>
      <c r="D12" s="30"/>
    </row>
    <row r="13" spans="1:4" x14ac:dyDescent="0.25">
      <c r="A13" s="22" t="s">
        <v>130</v>
      </c>
      <c r="B13" s="49">
        <v>71.689543749999999</v>
      </c>
      <c r="D13" s="30"/>
    </row>
    <row r="14" spans="1:4" x14ac:dyDescent="0.25">
      <c r="A14" s="22" t="s">
        <v>131</v>
      </c>
      <c r="B14" s="49">
        <v>670.09803132000002</v>
      </c>
      <c r="D14" s="30"/>
    </row>
    <row r="15" spans="1:4" x14ac:dyDescent="0.25">
      <c r="A15" s="22" t="s">
        <v>132</v>
      </c>
      <c r="B15" s="49">
        <v>127.85912464</v>
      </c>
      <c r="D15" s="30"/>
    </row>
    <row r="16" spans="1:4" x14ac:dyDescent="0.25">
      <c r="A16" s="24" t="s">
        <v>169</v>
      </c>
      <c r="B16" s="48">
        <v>18910.693595339999</v>
      </c>
      <c r="D16" s="29"/>
    </row>
    <row r="17" spans="1:4" x14ac:dyDescent="0.25">
      <c r="A17" s="22" t="s">
        <v>133</v>
      </c>
      <c r="B17" s="49">
        <v>3097.1531389400002</v>
      </c>
      <c r="D17" s="30"/>
    </row>
    <row r="18" spans="1:4" x14ac:dyDescent="0.25">
      <c r="A18" s="22" t="s">
        <v>134</v>
      </c>
      <c r="B18" s="49">
        <v>181.72376378999999</v>
      </c>
      <c r="D18" s="30"/>
    </row>
    <row r="19" spans="1:4" x14ac:dyDescent="0.25">
      <c r="A19" s="22" t="s">
        <v>135</v>
      </c>
      <c r="B19" s="49">
        <v>854.0703671</v>
      </c>
      <c r="D19" s="30"/>
    </row>
    <row r="20" spans="1:4" x14ac:dyDescent="0.25">
      <c r="A20" s="22" t="s">
        <v>136</v>
      </c>
      <c r="B20" s="49">
        <v>57.90506328</v>
      </c>
      <c r="D20" s="30"/>
    </row>
    <row r="21" spans="1:4" x14ac:dyDescent="0.25">
      <c r="A21" s="22" t="s">
        <v>137</v>
      </c>
      <c r="B21" s="49">
        <v>69.489123500000005</v>
      </c>
      <c r="D21" s="30"/>
    </row>
    <row r="22" spans="1:4" x14ac:dyDescent="0.25">
      <c r="A22" s="22" t="s">
        <v>138</v>
      </c>
      <c r="B22" s="49">
        <v>109.83325639</v>
      </c>
      <c r="D22" s="30"/>
    </row>
    <row r="23" spans="1:4" x14ac:dyDescent="0.25">
      <c r="A23" s="22" t="s">
        <v>139</v>
      </c>
      <c r="B23" s="49">
        <v>474.87592073000002</v>
      </c>
      <c r="D23" s="30"/>
    </row>
    <row r="24" spans="1:4" x14ac:dyDescent="0.25">
      <c r="A24" s="22" t="s">
        <v>140</v>
      </c>
      <c r="B24" s="49">
        <v>6315.0275704100004</v>
      </c>
      <c r="D24" s="30"/>
    </row>
    <row r="25" spans="1:4" x14ac:dyDescent="0.25">
      <c r="A25" s="22" t="s">
        <v>141</v>
      </c>
      <c r="B25" s="49">
        <v>222.67925025</v>
      </c>
      <c r="D25" s="30"/>
    </row>
    <row r="26" spans="1:4" x14ac:dyDescent="0.25">
      <c r="A26" s="22" t="s">
        <v>142</v>
      </c>
      <c r="B26" s="49">
        <v>620.26536309000005</v>
      </c>
      <c r="D26" s="30"/>
    </row>
    <row r="27" spans="1:4" x14ac:dyDescent="0.25">
      <c r="A27" s="22" t="s">
        <v>143</v>
      </c>
      <c r="B27" s="49">
        <v>436.22027859000002</v>
      </c>
      <c r="D27" s="30"/>
    </row>
    <row r="28" spans="1:4" x14ac:dyDescent="0.25">
      <c r="A28" s="22" t="s">
        <v>144</v>
      </c>
      <c r="B28" s="49">
        <v>5592.0888350599998</v>
      </c>
      <c r="D28" s="30"/>
    </row>
    <row r="29" spans="1:4" x14ac:dyDescent="0.25">
      <c r="A29" s="22" t="s">
        <v>145</v>
      </c>
      <c r="B29" s="49">
        <v>181.02550357999999</v>
      </c>
      <c r="D29" s="30"/>
    </row>
    <row r="30" spans="1:4" x14ac:dyDescent="0.25">
      <c r="A30" s="22" t="s">
        <v>146</v>
      </c>
      <c r="B30" s="49">
        <v>205.02960447000001</v>
      </c>
      <c r="D30" s="30"/>
    </row>
    <row r="31" spans="1:4" x14ac:dyDescent="0.25">
      <c r="A31" s="22" t="s">
        <v>147</v>
      </c>
      <c r="B31" s="49">
        <v>78.771963679999999</v>
      </c>
      <c r="D31" s="30"/>
    </row>
    <row r="32" spans="1:4" x14ac:dyDescent="0.25">
      <c r="A32" s="22" t="s">
        <v>148</v>
      </c>
      <c r="B32" s="49">
        <v>414.53459248000001</v>
      </c>
      <c r="D32" s="30"/>
    </row>
    <row r="33" spans="1:4" x14ac:dyDescent="0.25">
      <c r="A33" s="24" t="s">
        <v>170</v>
      </c>
      <c r="B33" s="48">
        <v>15553.555421290001</v>
      </c>
      <c r="D33" s="29"/>
    </row>
    <row r="34" spans="1:4" x14ac:dyDescent="0.25">
      <c r="A34" s="22" t="s">
        <v>149</v>
      </c>
      <c r="B34" s="49">
        <v>3533.0068182999998</v>
      </c>
      <c r="D34" s="30"/>
    </row>
    <row r="35" spans="1:4" x14ac:dyDescent="0.25">
      <c r="A35" s="22" t="s">
        <v>150</v>
      </c>
      <c r="B35" s="49">
        <v>735.04779130999998</v>
      </c>
      <c r="D35" s="30"/>
    </row>
    <row r="36" spans="1:4" x14ac:dyDescent="0.25">
      <c r="A36" s="22" t="s">
        <v>151</v>
      </c>
      <c r="B36" s="49">
        <v>101.79144912</v>
      </c>
      <c r="D36" s="30"/>
    </row>
    <row r="37" spans="1:4" x14ac:dyDescent="0.25">
      <c r="A37" s="22" t="s">
        <v>152</v>
      </c>
      <c r="B37" s="49">
        <v>10.22030971</v>
      </c>
      <c r="D37" s="30"/>
    </row>
    <row r="38" spans="1:4" x14ac:dyDescent="0.25">
      <c r="A38" s="22" t="s">
        <v>153</v>
      </c>
      <c r="B38" s="49">
        <v>244.06434983</v>
      </c>
      <c r="D38" s="30"/>
    </row>
    <row r="39" spans="1:4" x14ac:dyDescent="0.25">
      <c r="A39" s="22" t="s">
        <v>154</v>
      </c>
      <c r="B39" s="49">
        <v>61.774884800000002</v>
      </c>
      <c r="D39" s="30"/>
    </row>
    <row r="40" spans="1:4" x14ac:dyDescent="0.25">
      <c r="A40" s="22" t="s">
        <v>155</v>
      </c>
      <c r="B40" s="49">
        <v>5.2625535000000001</v>
      </c>
      <c r="D40" s="30"/>
    </row>
    <row r="41" spans="1:4" x14ac:dyDescent="0.25">
      <c r="A41" s="22" t="s">
        <v>156</v>
      </c>
      <c r="B41" s="49">
        <v>76.379257499999994</v>
      </c>
      <c r="D41" s="30"/>
    </row>
    <row r="42" spans="1:4" x14ac:dyDescent="0.25">
      <c r="A42" s="22" t="s">
        <v>157</v>
      </c>
      <c r="B42" s="49">
        <v>3237.7422759599999</v>
      </c>
      <c r="D42" s="30"/>
    </row>
    <row r="43" spans="1:4" x14ac:dyDescent="0.25">
      <c r="A43" s="22" t="s">
        <v>158</v>
      </c>
      <c r="B43" s="49">
        <v>1660.5043017999999</v>
      </c>
      <c r="D43" s="30"/>
    </row>
    <row r="44" spans="1:4" x14ac:dyDescent="0.25">
      <c r="A44" s="22" t="s">
        <v>159</v>
      </c>
      <c r="B44" s="49">
        <v>774.47669218999999</v>
      </c>
      <c r="D44" s="30"/>
    </row>
    <row r="45" spans="1:4" x14ac:dyDescent="0.25">
      <c r="A45" s="22" t="s">
        <v>160</v>
      </c>
      <c r="B45" s="49">
        <v>4621.4257138399998</v>
      </c>
      <c r="D45" s="30"/>
    </row>
    <row r="46" spans="1:4" x14ac:dyDescent="0.25">
      <c r="A46" s="22" t="s">
        <v>161</v>
      </c>
      <c r="B46" s="49">
        <v>103.31335292</v>
      </c>
      <c r="D46" s="30"/>
    </row>
    <row r="47" spans="1:4" x14ac:dyDescent="0.25">
      <c r="A47" s="22" t="s">
        <v>162</v>
      </c>
      <c r="B47" s="49">
        <v>388.54567050999998</v>
      </c>
      <c r="D47" s="30"/>
    </row>
    <row r="48" spans="1:4" x14ac:dyDescent="0.25">
      <c r="A48" s="24" t="s">
        <v>171</v>
      </c>
      <c r="B48" s="48">
        <v>9151.4696394099992</v>
      </c>
      <c r="D48" s="29"/>
    </row>
    <row r="49" spans="1:4" x14ac:dyDescent="0.25">
      <c r="A49" s="22" t="s">
        <v>163</v>
      </c>
      <c r="B49" s="49">
        <v>5722.2773933500002</v>
      </c>
      <c r="D49" s="30"/>
    </row>
    <row r="50" spans="1:4" x14ac:dyDescent="0.25">
      <c r="A50" s="22" t="s">
        <v>164</v>
      </c>
      <c r="B50" s="49">
        <v>2139.9432461699998</v>
      </c>
      <c r="D50" s="30"/>
    </row>
    <row r="51" spans="1:4" x14ac:dyDescent="0.25">
      <c r="A51" s="22" t="s">
        <v>165</v>
      </c>
      <c r="B51" s="49">
        <v>75.096219039999994</v>
      </c>
      <c r="D51" s="30"/>
    </row>
    <row r="52" spans="1:4" x14ac:dyDescent="0.25">
      <c r="A52" s="22" t="s">
        <v>166</v>
      </c>
      <c r="B52" s="42">
        <v>932.30774222000002</v>
      </c>
      <c r="D52" s="30"/>
    </row>
    <row r="53" spans="1:4" x14ac:dyDescent="0.25">
      <c r="A53" s="23" t="s">
        <v>167</v>
      </c>
      <c r="B53" s="50">
        <v>281.84503862999998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8907-CC26-40BE-9773-A1E4E22BE731}">
  <dimension ref="A1:B30"/>
  <sheetViews>
    <sheetView workbookViewId="0">
      <selection activeCell="B2" sqref="B2:B30"/>
    </sheetView>
  </sheetViews>
  <sheetFormatPr baseColWidth="10" defaultRowHeight="15" x14ac:dyDescent="0.25"/>
  <cols>
    <col min="1" max="1" width="58.28515625" customWidth="1"/>
  </cols>
  <sheetData>
    <row r="1" spans="1:2" x14ac:dyDescent="0.25">
      <c r="A1" s="10" t="s">
        <v>174</v>
      </c>
      <c r="B1" s="10" t="s">
        <v>82</v>
      </c>
    </row>
    <row r="2" spans="1:2" x14ac:dyDescent="0.25">
      <c r="A2" s="33" t="s">
        <v>177</v>
      </c>
      <c r="B2" s="43">
        <v>42285.6429794</v>
      </c>
    </row>
    <row r="3" spans="1:2" x14ac:dyDescent="0.25">
      <c r="A3" s="33" t="s">
        <v>178</v>
      </c>
      <c r="B3" s="43">
        <v>7966.5527909100001</v>
      </c>
    </row>
    <row r="4" spans="1:2" x14ac:dyDescent="0.25">
      <c r="A4" s="34" t="s">
        <v>179</v>
      </c>
      <c r="B4" s="44">
        <v>5703.72560419</v>
      </c>
    </row>
    <row r="5" spans="1:2" x14ac:dyDescent="0.25">
      <c r="A5" s="34" t="s">
        <v>180</v>
      </c>
      <c r="B5" s="44">
        <v>897.51211365999995</v>
      </c>
    </row>
    <row r="6" spans="1:2" x14ac:dyDescent="0.25">
      <c r="A6" s="34" t="s">
        <v>181</v>
      </c>
      <c r="B6" s="44">
        <v>1365.31507306</v>
      </c>
    </row>
    <row r="7" spans="1:2" x14ac:dyDescent="0.25">
      <c r="A7" s="33" t="s">
        <v>182</v>
      </c>
      <c r="B7" s="43">
        <v>14713.917361530001</v>
      </c>
    </row>
    <row r="8" spans="1:2" x14ac:dyDescent="0.25">
      <c r="A8" s="34" t="s">
        <v>183</v>
      </c>
      <c r="B8" s="44">
        <v>2620.4116493299998</v>
      </c>
    </row>
    <row r="9" spans="1:2" x14ac:dyDescent="0.25">
      <c r="A9" s="34" t="s">
        <v>184</v>
      </c>
      <c r="B9" s="44">
        <v>360.11411499000002</v>
      </c>
    </row>
    <row r="10" spans="1:2" x14ac:dyDescent="0.25">
      <c r="A10" s="34" t="s">
        <v>185</v>
      </c>
      <c r="B10" s="44">
        <v>577.07729746999996</v>
      </c>
    </row>
    <row r="11" spans="1:2" x14ac:dyDescent="0.25">
      <c r="A11" s="34" t="s">
        <v>186</v>
      </c>
      <c r="B11" s="44">
        <v>9948.1876556099996</v>
      </c>
    </row>
    <row r="12" spans="1:2" x14ac:dyDescent="0.25">
      <c r="A12" s="34" t="s">
        <v>187</v>
      </c>
      <c r="B12" s="44">
        <v>1208.1266441299999</v>
      </c>
    </row>
    <row r="13" spans="1:2" x14ac:dyDescent="0.25">
      <c r="A13" s="33" t="s">
        <v>188</v>
      </c>
      <c r="B13" s="43">
        <v>2298.2558634400002</v>
      </c>
    </row>
    <row r="14" spans="1:2" x14ac:dyDescent="0.25">
      <c r="A14" s="34" t="s">
        <v>189</v>
      </c>
      <c r="B14" s="44">
        <v>229.38295342999999</v>
      </c>
    </row>
    <row r="15" spans="1:2" x14ac:dyDescent="0.25">
      <c r="A15" s="34" t="s">
        <v>190</v>
      </c>
      <c r="B15" s="44">
        <v>2068.8729100099999</v>
      </c>
    </row>
    <row r="16" spans="1:2" x14ac:dyDescent="0.25">
      <c r="A16" s="33" t="s">
        <v>191</v>
      </c>
      <c r="B16" s="43">
        <v>7227.0718579900004</v>
      </c>
    </row>
    <row r="17" spans="1:2" x14ac:dyDescent="0.25">
      <c r="A17" s="34" t="s">
        <v>192</v>
      </c>
      <c r="B17" s="44">
        <v>2773.1099563900002</v>
      </c>
    </row>
    <row r="18" spans="1:2" x14ac:dyDescent="0.25">
      <c r="A18" s="34" t="s">
        <v>193</v>
      </c>
      <c r="B18" s="44">
        <v>375.03283696</v>
      </c>
    </row>
    <row r="19" spans="1:2" x14ac:dyDescent="0.25">
      <c r="A19" s="34" t="s">
        <v>194</v>
      </c>
      <c r="B19" s="44">
        <v>4078.92906464</v>
      </c>
    </row>
    <row r="20" spans="1:2" x14ac:dyDescent="0.25">
      <c r="A20" s="33" t="s">
        <v>195</v>
      </c>
      <c r="B20" s="43">
        <v>6251.3278832100004</v>
      </c>
    </row>
    <row r="21" spans="1:2" x14ac:dyDescent="0.25">
      <c r="A21" s="34" t="s">
        <v>196</v>
      </c>
      <c r="B21" s="44">
        <v>484.15647494000001</v>
      </c>
    </row>
    <row r="22" spans="1:2" x14ac:dyDescent="0.25">
      <c r="A22" s="34" t="s">
        <v>197</v>
      </c>
      <c r="B22" s="44">
        <v>928.84081617000004</v>
      </c>
    </row>
    <row r="23" spans="1:2" x14ac:dyDescent="0.25">
      <c r="A23" s="34" t="s">
        <v>198</v>
      </c>
      <c r="B23" s="44">
        <v>4.7688800000000005E-3</v>
      </c>
    </row>
    <row r="24" spans="1:2" x14ac:dyDescent="0.25">
      <c r="A24" s="34" t="s">
        <v>199</v>
      </c>
      <c r="B24" s="44">
        <v>510.76962545999999</v>
      </c>
    </row>
    <row r="25" spans="1:2" x14ac:dyDescent="0.25">
      <c r="A25" s="34" t="s">
        <v>200</v>
      </c>
      <c r="B25" s="44">
        <v>644.35921371999996</v>
      </c>
    </row>
    <row r="26" spans="1:2" x14ac:dyDescent="0.25">
      <c r="A26" s="34" t="s">
        <v>201</v>
      </c>
      <c r="B26" s="44">
        <v>1610.9767362600001</v>
      </c>
    </row>
    <row r="27" spans="1:2" x14ac:dyDescent="0.25">
      <c r="A27" s="34" t="s">
        <v>187</v>
      </c>
      <c r="B27" s="44">
        <v>1114.6196868300001</v>
      </c>
    </row>
    <row r="28" spans="1:2" x14ac:dyDescent="0.25">
      <c r="A28" s="33" t="s">
        <v>202</v>
      </c>
      <c r="B28" s="44">
        <v>957.60056095000004</v>
      </c>
    </row>
    <row r="29" spans="1:2" x14ac:dyDescent="0.25">
      <c r="A29" s="35" t="s">
        <v>173</v>
      </c>
      <c r="B29" s="43">
        <v>3045.5730030099999</v>
      </c>
    </row>
    <row r="30" spans="1:2" x14ac:dyDescent="0.25">
      <c r="B30" s="45">
        <v>782.94421930999999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/>
  </sheetViews>
  <sheetFormatPr baseColWidth="10" defaultColWidth="10.7109375" defaultRowHeight="15" x14ac:dyDescent="0.25"/>
  <cols>
    <col min="1" max="1" width="75.140625" customWidth="1"/>
    <col min="3" max="3" width="16.28515625" customWidth="1"/>
  </cols>
  <sheetData>
    <row r="1" spans="1:3" x14ac:dyDescent="0.25">
      <c r="A1" s="12" t="s">
        <v>81</v>
      </c>
      <c r="B1" s="12" t="s">
        <v>82</v>
      </c>
      <c r="C1" s="12" t="s">
        <v>83</v>
      </c>
    </row>
    <row r="2" spans="1:3" x14ac:dyDescent="0.25">
      <c r="A2" t="s">
        <v>84</v>
      </c>
      <c r="B2">
        <v>599983.70014804997</v>
      </c>
      <c r="C2">
        <v>2.481356123815659</v>
      </c>
    </row>
    <row r="3" spans="1:3" x14ac:dyDescent="0.25">
      <c r="A3" t="s">
        <v>85</v>
      </c>
      <c r="B3">
        <v>38842.924521107714</v>
      </c>
      <c r="C3">
        <v>18.138938518629178</v>
      </c>
    </row>
    <row r="4" spans="1:3" x14ac:dyDescent="0.25">
      <c r="A4" t="s">
        <v>86</v>
      </c>
      <c r="B4">
        <v>1545.6270924291682</v>
      </c>
      <c r="C4">
        <v>27.45728282807076</v>
      </c>
    </row>
    <row r="5" spans="1:3" x14ac:dyDescent="0.25">
      <c r="A5" t="s">
        <v>87</v>
      </c>
      <c r="B5">
        <v>30755.076629366038</v>
      </c>
      <c r="C5">
        <v>12.334190997099181</v>
      </c>
    </row>
    <row r="6" spans="1:3" x14ac:dyDescent="0.25">
      <c r="A6" t="s">
        <v>88</v>
      </c>
      <c r="B6">
        <v>112761.23165011391</v>
      </c>
      <c r="C6">
        <v>-1.676454111061576</v>
      </c>
    </row>
    <row r="7" spans="1:3" x14ac:dyDescent="0.25">
      <c r="A7" t="s">
        <v>89</v>
      </c>
      <c r="B7">
        <v>12673.907286977306</v>
      </c>
      <c r="C7">
        <v>-1.0509245571815207</v>
      </c>
    </row>
    <row r="8" spans="1:3" x14ac:dyDescent="0.25">
      <c r="A8" t="s">
        <v>90</v>
      </c>
      <c r="B8">
        <v>19017.800104434555</v>
      </c>
      <c r="C8">
        <v>2.5370815997647345</v>
      </c>
    </row>
    <row r="9" spans="1:3" x14ac:dyDescent="0.25">
      <c r="A9" t="s">
        <v>91</v>
      </c>
      <c r="B9">
        <v>91872.245634525272</v>
      </c>
      <c r="C9">
        <v>-0.29307255440298441</v>
      </c>
    </row>
    <row r="10" spans="1:3" x14ac:dyDescent="0.25">
      <c r="A10" t="s">
        <v>92</v>
      </c>
      <c r="B10">
        <v>13022.400979766842</v>
      </c>
      <c r="C10">
        <v>2.7902948421734797</v>
      </c>
    </row>
    <row r="11" spans="1:3" x14ac:dyDescent="0.25">
      <c r="A11" t="s">
        <v>93</v>
      </c>
      <c r="B11">
        <v>55633.327772916178</v>
      </c>
      <c r="C11">
        <v>2.2858102158443083</v>
      </c>
    </row>
    <row r="12" spans="1:3" x14ac:dyDescent="0.25">
      <c r="A12" t="s">
        <v>94</v>
      </c>
      <c r="B12">
        <v>30381.126773097683</v>
      </c>
      <c r="C12">
        <v>7.5048032104928053</v>
      </c>
    </row>
    <row r="13" spans="1:3" x14ac:dyDescent="0.25">
      <c r="A13" t="s">
        <v>95</v>
      </c>
      <c r="B13">
        <v>85939.774708283672</v>
      </c>
      <c r="C13">
        <v>0.89683919333798379</v>
      </c>
    </row>
    <row r="14" spans="1:3" x14ac:dyDescent="0.25">
      <c r="A14" t="s">
        <v>96</v>
      </c>
      <c r="B14">
        <v>34900.492729780119</v>
      </c>
      <c r="C14">
        <v>-1.3759391935735277</v>
      </c>
    </row>
    <row r="15" spans="1:3" x14ac:dyDescent="0.25">
      <c r="A15" t="s">
        <v>97</v>
      </c>
      <c r="B15">
        <v>29912.893832996058</v>
      </c>
      <c r="C15">
        <v>5.5946826390473881E-2</v>
      </c>
    </row>
    <row r="16" spans="1:3" x14ac:dyDescent="0.25">
      <c r="A16" t="s">
        <v>98</v>
      </c>
      <c r="B16">
        <v>23085.607234226565</v>
      </c>
      <c r="C16">
        <v>0.46783601580868694</v>
      </c>
    </row>
    <row r="17" spans="1:3" x14ac:dyDescent="0.25">
      <c r="A17" t="s">
        <v>99</v>
      </c>
      <c r="B17">
        <v>15478.186568411322</v>
      </c>
      <c r="C17">
        <v>0.6554599397215588</v>
      </c>
    </row>
    <row r="18" spans="1:3" x14ac:dyDescent="0.25">
      <c r="A18" t="s">
        <v>100</v>
      </c>
      <c r="B18">
        <v>4161.0766296179845</v>
      </c>
      <c r="C18">
        <v>6.2795181172130343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7"/>
  <sheetViews>
    <sheetView zoomScaleNormal="100" workbookViewId="0"/>
  </sheetViews>
  <sheetFormatPr baseColWidth="10" defaultColWidth="10.7109375" defaultRowHeight="15" x14ac:dyDescent="0.25"/>
  <cols>
    <col min="2" max="2" width="29.140625" customWidth="1"/>
    <col min="3" max="3" width="23.5703125" customWidth="1"/>
    <col min="4" max="4" width="27.5703125" customWidth="1"/>
  </cols>
  <sheetData>
    <row r="1" spans="1:4" x14ac:dyDescent="0.25">
      <c r="A1" s="13" t="s">
        <v>101</v>
      </c>
      <c r="B1" s="14" t="s">
        <v>102</v>
      </c>
      <c r="C1" s="13" t="s">
        <v>103</v>
      </c>
      <c r="D1" s="13" t="s">
        <v>104</v>
      </c>
    </row>
    <row r="2" spans="1:4" x14ac:dyDescent="0.25">
      <c r="A2" s="4">
        <v>42370</v>
      </c>
      <c r="B2" s="17">
        <v>134.74645041349706</v>
      </c>
      <c r="C2" s="36">
        <v>147.90228794480254</v>
      </c>
      <c r="D2" s="36">
        <v>147.05884131449477</v>
      </c>
    </row>
    <row r="3" spans="1:4" x14ac:dyDescent="0.25">
      <c r="A3" s="4">
        <v>42401</v>
      </c>
      <c r="B3" s="17">
        <v>134.23236103862521</v>
      </c>
      <c r="C3" s="36">
        <v>146.86931898530125</v>
      </c>
      <c r="D3" s="36">
        <v>146.48052100056762</v>
      </c>
    </row>
    <row r="4" spans="1:4" x14ac:dyDescent="0.25">
      <c r="A4" s="4">
        <v>42430</v>
      </c>
      <c r="B4" s="17">
        <v>150.0878942366954</v>
      </c>
      <c r="C4" s="36">
        <v>145.97749833883569</v>
      </c>
      <c r="D4" s="36">
        <v>145.93166785307798</v>
      </c>
    </row>
    <row r="5" spans="1:4" x14ac:dyDescent="0.25">
      <c r="A5" s="4">
        <v>42461</v>
      </c>
      <c r="B5" s="17">
        <v>153.25067436662908</v>
      </c>
      <c r="C5" s="36">
        <v>144.70807119513321</v>
      </c>
      <c r="D5" s="36">
        <v>145.44994793136155</v>
      </c>
    </row>
    <row r="6" spans="1:4" x14ac:dyDescent="0.25">
      <c r="A6" s="4">
        <v>42491</v>
      </c>
      <c r="B6" s="17">
        <v>163.51360808690507</v>
      </c>
      <c r="C6" s="36">
        <v>144.62478893925029</v>
      </c>
      <c r="D6" s="36">
        <v>145.0638187966789</v>
      </c>
    </row>
    <row r="7" spans="1:4" x14ac:dyDescent="0.25">
      <c r="A7" s="4">
        <v>42522</v>
      </c>
      <c r="B7" s="17">
        <v>153.66209524099784</v>
      </c>
      <c r="C7" s="36">
        <v>144.40593395794969</v>
      </c>
      <c r="D7" s="36">
        <v>144.795120666016</v>
      </c>
    </row>
    <row r="8" spans="1:4" x14ac:dyDescent="0.25">
      <c r="A8" s="4">
        <v>42552</v>
      </c>
      <c r="B8" s="17">
        <v>143.73110098180126</v>
      </c>
      <c r="C8" s="36">
        <v>144.56971196835462</v>
      </c>
      <c r="D8" s="36">
        <v>144.65413849762604</v>
      </c>
    </row>
    <row r="9" spans="1:4" x14ac:dyDescent="0.25">
      <c r="A9" s="4">
        <v>42583</v>
      </c>
      <c r="B9" s="17">
        <v>143.6741026486049</v>
      </c>
      <c r="C9" s="36">
        <v>145.62439225744868</v>
      </c>
      <c r="D9" s="36">
        <v>144.6438070847106</v>
      </c>
    </row>
    <row r="10" spans="1:4" x14ac:dyDescent="0.25">
      <c r="A10" s="4">
        <v>42614</v>
      </c>
      <c r="B10" s="17">
        <v>142.00773744282046</v>
      </c>
      <c r="C10" s="36">
        <v>145.01346587648703</v>
      </c>
      <c r="D10" s="36">
        <v>144.76293538516143</v>
      </c>
    </row>
    <row r="11" spans="1:4" x14ac:dyDescent="0.25">
      <c r="A11" s="4">
        <v>42644</v>
      </c>
      <c r="B11" s="17">
        <v>141.13686329808141</v>
      </c>
      <c r="C11" s="36">
        <v>145.13693619452528</v>
      </c>
      <c r="D11" s="36">
        <v>145.00324154007509</v>
      </c>
    </row>
    <row r="12" spans="1:4" x14ac:dyDescent="0.25">
      <c r="A12" s="4">
        <v>42675</v>
      </c>
      <c r="B12" s="17">
        <v>144.93832064073018</v>
      </c>
      <c r="C12" s="36">
        <v>145.78761585131699</v>
      </c>
      <c r="D12" s="36">
        <v>145.34973845890553</v>
      </c>
    </row>
    <row r="13" spans="1:4" x14ac:dyDescent="0.25">
      <c r="A13" s="4">
        <v>42705</v>
      </c>
      <c r="B13" s="17">
        <v>142.59014516031914</v>
      </c>
      <c r="C13" s="36">
        <v>146.95133257211731</v>
      </c>
      <c r="D13" s="36">
        <v>145.7898359883429</v>
      </c>
    </row>
    <row r="14" spans="1:4" x14ac:dyDescent="0.25">
      <c r="A14" s="4">
        <v>42736</v>
      </c>
      <c r="B14" s="17">
        <v>136.63265948316212</v>
      </c>
      <c r="C14" s="36">
        <v>147.10315056347034</v>
      </c>
      <c r="D14" s="36">
        <v>146.30916445024215</v>
      </c>
    </row>
    <row r="15" spans="1:4" x14ac:dyDescent="0.25">
      <c r="A15" s="4">
        <v>42767</v>
      </c>
      <c r="B15" s="17">
        <v>132.15851633982274</v>
      </c>
      <c r="C15" s="36">
        <v>146.83985693267059</v>
      </c>
      <c r="D15" s="36">
        <v>146.88994972865572</v>
      </c>
    </row>
    <row r="16" spans="1:4" x14ac:dyDescent="0.25">
      <c r="A16" s="4">
        <v>42795</v>
      </c>
      <c r="B16" s="17">
        <v>152.6209585590573</v>
      </c>
      <c r="C16" s="36">
        <v>147.67109458512658</v>
      </c>
      <c r="D16" s="36">
        <v>147.51460995597441</v>
      </c>
    </row>
    <row r="17" spans="1:4" x14ac:dyDescent="0.25">
      <c r="A17" s="4">
        <v>42826</v>
      </c>
      <c r="B17" s="17">
        <v>151.94634480448738</v>
      </c>
      <c r="C17" s="36">
        <v>147.66807814570066</v>
      </c>
      <c r="D17" s="36">
        <v>148.16341792098223</v>
      </c>
    </row>
    <row r="18" spans="1:4" x14ac:dyDescent="0.25">
      <c r="A18" s="4">
        <v>42856</v>
      </c>
      <c r="B18" s="17">
        <v>168.38920946936781</v>
      </c>
      <c r="C18" s="36">
        <v>148.68211497089837</v>
      </c>
      <c r="D18" s="36">
        <v>148.81064989468004</v>
      </c>
    </row>
    <row r="19" spans="1:4" x14ac:dyDescent="0.25">
      <c r="A19" s="4">
        <v>42887</v>
      </c>
      <c r="B19" s="17">
        <v>161.03568546945232</v>
      </c>
      <c r="C19" s="36">
        <v>150.26860128620675</v>
      </c>
      <c r="D19" s="36">
        <v>149.4263530717264</v>
      </c>
    </row>
    <row r="20" spans="1:4" x14ac:dyDescent="0.25">
      <c r="A20" s="4">
        <v>42917</v>
      </c>
      <c r="B20" s="17">
        <v>150.30605012391999</v>
      </c>
      <c r="C20" s="36">
        <v>150.45415651887882</v>
      </c>
      <c r="D20" s="36">
        <v>149.97613834878806</v>
      </c>
    </row>
    <row r="21" spans="1:4" x14ac:dyDescent="0.25">
      <c r="A21" s="4">
        <v>42948</v>
      </c>
      <c r="B21" s="17">
        <v>149.25534277384111</v>
      </c>
      <c r="C21" s="36">
        <v>150.39131093623385</v>
      </c>
      <c r="D21" s="36">
        <v>150.42258328427556</v>
      </c>
    </row>
    <row r="22" spans="1:4" x14ac:dyDescent="0.25">
      <c r="A22" s="4">
        <v>42979</v>
      </c>
      <c r="B22" s="17">
        <v>146.38655965775385</v>
      </c>
      <c r="C22" s="36">
        <v>151.21376013876639</v>
      </c>
      <c r="D22" s="36">
        <v>150.72715127054451</v>
      </c>
    </row>
    <row r="23" spans="1:4" x14ac:dyDescent="0.25">
      <c r="A23" s="4">
        <v>43009</v>
      </c>
      <c r="B23" s="17">
        <v>149.38594966601454</v>
      </c>
      <c r="C23" s="36">
        <v>151.69328476469425</v>
      </c>
      <c r="D23" s="36">
        <v>150.85914085952476</v>
      </c>
    </row>
    <row r="24" spans="1:4" x14ac:dyDescent="0.25">
      <c r="A24" s="4">
        <v>43040</v>
      </c>
      <c r="B24" s="17">
        <v>151.92604285202697</v>
      </c>
      <c r="C24" s="36">
        <v>152.61081737406121</v>
      </c>
      <c r="D24" s="36">
        <v>150.79269365352215</v>
      </c>
    </row>
    <row r="25" spans="1:4" x14ac:dyDescent="0.25">
      <c r="A25" s="4">
        <v>43070</v>
      </c>
      <c r="B25" s="17">
        <v>146.78338490922451</v>
      </c>
      <c r="C25" s="36">
        <v>152.23047843206538</v>
      </c>
      <c r="D25" s="36">
        <v>150.51491752532093</v>
      </c>
    </row>
    <row r="26" spans="1:4" x14ac:dyDescent="0.25">
      <c r="A26" s="4">
        <v>43101</v>
      </c>
      <c r="B26" s="17">
        <v>142.74091260617223</v>
      </c>
      <c r="C26" s="36">
        <v>150.97432403194165</v>
      </c>
      <c r="D26" s="36">
        <v>150.03080673561695</v>
      </c>
    </row>
    <row r="27" spans="1:4" x14ac:dyDescent="0.25">
      <c r="A27" s="4">
        <v>43132</v>
      </c>
      <c r="B27" s="17">
        <v>138.81804035165743</v>
      </c>
      <c r="C27" s="36">
        <v>152.21496614021012</v>
      </c>
      <c r="D27" s="36">
        <v>149.3624332264886</v>
      </c>
    </row>
    <row r="28" spans="1:4" x14ac:dyDescent="0.25">
      <c r="A28" s="4">
        <v>43160</v>
      </c>
      <c r="B28" s="17">
        <v>155.85731953576973</v>
      </c>
      <c r="C28" s="36">
        <v>151.54850660607454</v>
      </c>
      <c r="D28" s="36">
        <v>148.54828673930285</v>
      </c>
    </row>
    <row r="29" spans="1:4" x14ac:dyDescent="0.25">
      <c r="A29" s="4">
        <v>43191</v>
      </c>
      <c r="B29" s="17">
        <v>151.52454398394343</v>
      </c>
      <c r="C29" s="36">
        <v>146.80644414143845</v>
      </c>
      <c r="D29" s="36">
        <v>147.63523092998457</v>
      </c>
    </row>
    <row r="30" spans="1:4" x14ac:dyDescent="0.25">
      <c r="A30" s="4">
        <v>43221</v>
      </c>
      <c r="B30" s="17">
        <v>159.5666923779167</v>
      </c>
      <c r="C30" s="36">
        <v>144.58761676999234</v>
      </c>
      <c r="D30" s="36">
        <v>146.67848734799458</v>
      </c>
    </row>
    <row r="31" spans="1:4" x14ac:dyDescent="0.25">
      <c r="A31" s="4">
        <v>43252</v>
      </c>
      <c r="B31" s="17">
        <v>151.12576323345522</v>
      </c>
      <c r="C31" s="36">
        <v>143.27264246575626</v>
      </c>
      <c r="D31" s="36">
        <v>145.73584383725961</v>
      </c>
    </row>
    <row r="32" spans="1:4" x14ac:dyDescent="0.25">
      <c r="A32" s="4">
        <v>43282</v>
      </c>
      <c r="B32" s="17">
        <v>145.96352443000461</v>
      </c>
      <c r="C32" s="36">
        <v>143.59456149815151</v>
      </c>
      <c r="D32" s="36">
        <v>144.85986468982435</v>
      </c>
    </row>
    <row r="33" spans="1:4" x14ac:dyDescent="0.25">
      <c r="A33" s="4">
        <v>43313</v>
      </c>
      <c r="B33" s="17">
        <v>146.76596003413968</v>
      </c>
      <c r="C33" s="36">
        <v>146.54647689029972</v>
      </c>
      <c r="D33" s="36">
        <v>144.09839390385193</v>
      </c>
    </row>
    <row r="34" spans="1:4" x14ac:dyDescent="0.25">
      <c r="A34" s="4">
        <v>43344</v>
      </c>
      <c r="B34" s="17">
        <v>137.746569718648</v>
      </c>
      <c r="C34" s="36">
        <v>143.13178589235872</v>
      </c>
      <c r="D34" s="36">
        <v>143.48526623050319</v>
      </c>
    </row>
    <row r="35" spans="1:4" x14ac:dyDescent="0.25">
      <c r="A35" s="4">
        <v>43374</v>
      </c>
      <c r="B35" s="17">
        <v>142.84327598456761</v>
      </c>
      <c r="C35" s="36">
        <v>143.55929161700038</v>
      </c>
      <c r="D35" s="36">
        <v>143.03626587801961</v>
      </c>
    </row>
    <row r="36" spans="1:4" x14ac:dyDescent="0.25">
      <c r="A36" s="4">
        <v>43405</v>
      </c>
      <c r="B36" s="17">
        <v>140.59240732533567</v>
      </c>
      <c r="C36" s="36">
        <v>141.61755948831191</v>
      </c>
      <c r="D36" s="36">
        <v>142.75240421627376</v>
      </c>
    </row>
    <row r="37" spans="1:4" x14ac:dyDescent="0.25">
      <c r="A37" s="4">
        <v>43435</v>
      </c>
      <c r="B37" s="17">
        <v>136.25161596905636</v>
      </c>
      <c r="C37" s="36">
        <v>141.94245053564785</v>
      </c>
      <c r="D37" s="36">
        <v>142.62030929088488</v>
      </c>
    </row>
    <row r="38" spans="1:4" x14ac:dyDescent="0.25">
      <c r="A38" s="4">
        <v>43466</v>
      </c>
      <c r="B38" s="17">
        <v>134.5362398566958</v>
      </c>
      <c r="C38" s="36">
        <v>141.42634449054745</v>
      </c>
      <c r="D38" s="36">
        <v>142.61157661917866</v>
      </c>
    </row>
    <row r="39" spans="1:4" x14ac:dyDescent="0.25">
      <c r="A39" s="4">
        <v>43497</v>
      </c>
      <c r="B39" s="17">
        <v>132.26788861273661</v>
      </c>
      <c r="C39" s="36">
        <v>143.72785091696355</v>
      </c>
      <c r="D39" s="36">
        <v>142.68844745241501</v>
      </c>
    </row>
    <row r="40" spans="1:4" x14ac:dyDescent="0.25">
      <c r="A40" s="4">
        <v>43525</v>
      </c>
      <c r="B40" s="17">
        <v>144.96325495574916</v>
      </c>
      <c r="C40" s="36">
        <v>142.33640443007181</v>
      </c>
      <c r="D40" s="36">
        <v>142.80929312695918</v>
      </c>
    </row>
    <row r="41" spans="1:4" x14ac:dyDescent="0.25">
      <c r="A41" s="4">
        <v>43556</v>
      </c>
      <c r="B41" s="17">
        <v>149.91622140352271</v>
      </c>
      <c r="C41" s="36">
        <v>142.63217066739119</v>
      </c>
      <c r="D41" s="36">
        <v>142.92899490596105</v>
      </c>
    </row>
    <row r="42" spans="1:4" x14ac:dyDescent="0.25">
      <c r="A42" s="4">
        <v>43586</v>
      </c>
      <c r="B42" s="17">
        <v>164.1356990759204</v>
      </c>
      <c r="C42" s="36">
        <v>144.85176283668281</v>
      </c>
      <c r="D42" s="36">
        <v>143.00611711109545</v>
      </c>
    </row>
    <row r="43" spans="1:4" x14ac:dyDescent="0.25">
      <c r="A43" s="4">
        <v>43617</v>
      </c>
      <c r="B43" s="17">
        <v>150.85897174113128</v>
      </c>
      <c r="C43" s="36">
        <v>144.04490409998212</v>
      </c>
      <c r="D43" s="36">
        <v>143.00568802760029</v>
      </c>
    </row>
    <row r="44" spans="1:4" x14ac:dyDescent="0.25">
      <c r="A44" s="4">
        <v>43647</v>
      </c>
      <c r="B44" s="17">
        <v>146.77702964007034</v>
      </c>
      <c r="C44" s="36">
        <v>145.82192292861072</v>
      </c>
      <c r="D44" s="36">
        <v>142.90114762770563</v>
      </c>
    </row>
    <row r="45" spans="1:4" x14ac:dyDescent="0.25">
      <c r="A45" s="4">
        <v>43678</v>
      </c>
      <c r="B45" s="17">
        <v>141.27693468084036</v>
      </c>
      <c r="C45" s="36">
        <v>144.77374425103372</v>
      </c>
      <c r="D45" s="36">
        <v>142.67645193678277</v>
      </c>
    </row>
    <row r="46" spans="1:4" x14ac:dyDescent="0.25">
      <c r="A46" s="4">
        <v>43709</v>
      </c>
      <c r="B46" s="17">
        <v>134.87706647993653</v>
      </c>
      <c r="C46" s="36">
        <v>140.52870612823389</v>
      </c>
      <c r="D46" s="36">
        <v>142.32683422868618</v>
      </c>
    </row>
    <row r="47" spans="1:4" x14ac:dyDescent="0.25">
      <c r="A47" s="4">
        <v>43739</v>
      </c>
      <c r="B47" s="17">
        <v>141.63933661701381</v>
      </c>
      <c r="C47" s="36">
        <v>143.75161347511875</v>
      </c>
      <c r="D47" s="36">
        <v>141.85824620693592</v>
      </c>
    </row>
    <row r="48" spans="1:4" x14ac:dyDescent="0.25">
      <c r="A48" s="4">
        <v>43770</v>
      </c>
      <c r="B48" s="17">
        <v>137.77182966933145</v>
      </c>
      <c r="C48" s="36">
        <v>140.81021564190533</v>
      </c>
      <c r="D48" s="36">
        <v>141.28726807080514</v>
      </c>
    </row>
    <row r="49" spans="1:4" x14ac:dyDescent="0.25">
      <c r="A49" s="4">
        <v>43800</v>
      </c>
      <c r="B49" s="17">
        <v>135.76515452763502</v>
      </c>
      <c r="C49" s="36">
        <v>140.07998791005343</v>
      </c>
      <c r="D49" s="36">
        <v>140.64135515964173</v>
      </c>
    </row>
    <row r="50" spans="1:4" x14ac:dyDescent="0.25">
      <c r="A50" s="4">
        <v>43831</v>
      </c>
      <c r="B50" s="17">
        <v>133.89108608957241</v>
      </c>
      <c r="C50" s="36">
        <v>140.92554601700547</v>
      </c>
      <c r="D50" s="36">
        <v>139.9508919074238</v>
      </c>
    </row>
    <row r="51" spans="1:4" x14ac:dyDescent="0.25">
      <c r="A51" s="4">
        <v>43862</v>
      </c>
      <c r="B51" s="17">
        <v>128.97363874659823</v>
      </c>
      <c r="C51" s="36">
        <v>139.58431341498277</v>
      </c>
      <c r="D51" s="36">
        <v>139.24950149986981</v>
      </c>
    </row>
    <row r="52" spans="1:4" x14ac:dyDescent="0.25">
      <c r="A52" s="4">
        <v>43891</v>
      </c>
      <c r="B52" s="17">
        <v>128.21106074025667</v>
      </c>
      <c r="C52" s="36">
        <v>126.02034936546131</v>
      </c>
      <c r="D52" s="36">
        <v>138.57159350028013</v>
      </c>
    </row>
    <row r="53" spans="1:4" x14ac:dyDescent="0.25">
      <c r="A53" s="4">
        <v>43922</v>
      </c>
      <c r="B53" s="17">
        <v>113.29503444580156</v>
      </c>
      <c r="C53" s="36">
        <v>106.05639981841499</v>
      </c>
      <c r="D53" s="36">
        <v>137.95177444201141</v>
      </c>
    </row>
    <row r="54" spans="1:4" x14ac:dyDescent="0.25">
      <c r="A54" s="4">
        <v>43952</v>
      </c>
      <c r="B54" s="17">
        <v>131.02956919734916</v>
      </c>
      <c r="C54" s="36">
        <v>117.26625454147219</v>
      </c>
      <c r="D54" s="36">
        <v>137.42336915504214</v>
      </c>
    </row>
    <row r="55" spans="1:4" x14ac:dyDescent="0.25">
      <c r="A55" s="4">
        <v>43983</v>
      </c>
      <c r="B55" s="17">
        <v>132.52196526648777</v>
      </c>
      <c r="C55" s="36">
        <v>124.35972004671306</v>
      </c>
      <c r="D55" s="36">
        <v>137.01191055029554</v>
      </c>
    </row>
    <row r="56" spans="1:4" x14ac:dyDescent="0.25">
      <c r="A56" s="4">
        <v>44013</v>
      </c>
      <c r="B56" s="17">
        <v>127.46368946979405</v>
      </c>
      <c r="C56" s="36">
        <v>126.14854476042942</v>
      </c>
      <c r="D56" s="36">
        <v>136.73449987129194</v>
      </c>
    </row>
    <row r="57" spans="1:4" x14ac:dyDescent="0.25">
      <c r="A57" s="4">
        <v>44044</v>
      </c>
      <c r="B57" s="17">
        <v>125.18389375984655</v>
      </c>
      <c r="C57" s="36">
        <v>128.83372679932165</v>
      </c>
      <c r="D57" s="36">
        <v>136.60088049432886</v>
      </c>
    </row>
    <row r="58" spans="1:4" x14ac:dyDescent="0.25">
      <c r="A58" s="4">
        <v>44075</v>
      </c>
      <c r="B58" s="17">
        <v>127.17507609335286</v>
      </c>
      <c r="C58" s="36">
        <v>130.76173160851343</v>
      </c>
      <c r="D58" s="36">
        <v>136.61209476684212</v>
      </c>
    </row>
    <row r="59" spans="1:4" x14ac:dyDescent="0.25">
      <c r="A59" s="4">
        <v>44105</v>
      </c>
      <c r="B59" s="17">
        <v>131.34550189452798</v>
      </c>
      <c r="C59" s="36">
        <v>133.35013477038626</v>
      </c>
      <c r="D59" s="36">
        <v>136.76269563502817</v>
      </c>
    </row>
    <row r="60" spans="1:4" x14ac:dyDescent="0.25">
      <c r="A60" s="4">
        <v>44136</v>
      </c>
      <c r="B60" s="17">
        <v>132.06865525299673</v>
      </c>
      <c r="C60" s="36">
        <v>134.79827594761082</v>
      </c>
      <c r="D60" s="36">
        <v>137.03990402352059</v>
      </c>
    </row>
    <row r="61" spans="1:4" x14ac:dyDescent="0.25">
      <c r="A61" s="4">
        <v>44166</v>
      </c>
      <c r="B61" s="17">
        <v>133.85436559460618</v>
      </c>
      <c r="C61" s="36">
        <v>136.90853992586401</v>
      </c>
      <c r="D61" s="36">
        <v>137.42718773237806</v>
      </c>
    </row>
    <row r="62" spans="1:4" x14ac:dyDescent="0.25">
      <c r="A62" s="4">
        <v>44197</v>
      </c>
      <c r="B62" s="17">
        <v>131.52153739731895</v>
      </c>
      <c r="C62" s="36">
        <v>139.85869931136128</v>
      </c>
      <c r="D62" s="36">
        <v>137.90773055216602</v>
      </c>
    </row>
    <row r="63" spans="1:4" x14ac:dyDescent="0.25">
      <c r="A63" s="4">
        <v>44228</v>
      </c>
      <c r="B63" s="17">
        <v>126.23926696836419</v>
      </c>
      <c r="C63" s="36">
        <v>138.27778724368201</v>
      </c>
      <c r="D63" s="36">
        <v>138.46922791775205</v>
      </c>
    </row>
    <row r="64" spans="1:4" x14ac:dyDescent="0.25">
      <c r="A64" s="4">
        <v>44256</v>
      </c>
      <c r="B64" s="17">
        <v>145.9569001036472</v>
      </c>
      <c r="C64" s="36">
        <v>140.94283751059339</v>
      </c>
      <c r="D64" s="36">
        <v>139.1015222090131</v>
      </c>
    </row>
    <row r="65" spans="1:4" x14ac:dyDescent="0.25">
      <c r="A65" s="4">
        <v>44287</v>
      </c>
      <c r="B65" s="17">
        <v>147.28084401875961</v>
      </c>
      <c r="C65" s="36">
        <v>139.42174873428777</v>
      </c>
      <c r="D65" s="36">
        <v>139.80063611380118</v>
      </c>
    </row>
    <row r="66" spans="1:4" x14ac:dyDescent="0.25">
      <c r="A66" s="4">
        <v>44317</v>
      </c>
      <c r="B66" s="17">
        <v>151.16932233874826</v>
      </c>
      <c r="C66" s="36">
        <v>138.92350185503292</v>
      </c>
      <c r="D66" s="36">
        <v>140.56490592146289</v>
      </c>
    </row>
    <row r="67" spans="1:4" x14ac:dyDescent="0.25">
      <c r="A67" s="4">
        <v>44348</v>
      </c>
      <c r="B67" s="17">
        <v>148.97961710841247</v>
      </c>
      <c r="C67" s="36">
        <v>141.54410781899168</v>
      </c>
      <c r="D67" s="36">
        <v>141.39166062844572</v>
      </c>
    </row>
    <row r="68" spans="1:4" x14ac:dyDescent="0.25">
      <c r="A68" s="4">
        <v>44378</v>
      </c>
      <c r="B68" s="17">
        <v>142.42591306035814</v>
      </c>
      <c r="C68" s="36">
        <v>141.35346521561027</v>
      </c>
      <c r="D68" s="36">
        <v>142.28165460957507</v>
      </c>
    </row>
    <row r="69" spans="1:4" x14ac:dyDescent="0.25">
      <c r="A69" s="4">
        <v>44409</v>
      </c>
      <c r="B69" s="17">
        <v>140.97494072777735</v>
      </c>
      <c r="C69" s="36">
        <v>143.29318922352883</v>
      </c>
      <c r="D69" s="36">
        <v>143.23502605857846</v>
      </c>
    </row>
    <row r="70" spans="1:4" x14ac:dyDescent="0.25">
      <c r="A70" s="4">
        <v>44440</v>
      </c>
      <c r="B70" s="17">
        <v>141.29608909028411</v>
      </c>
      <c r="C70" s="36">
        <v>144.12507279457796</v>
      </c>
      <c r="D70" s="36">
        <v>144.24592259774104</v>
      </c>
    </row>
    <row r="71" spans="1:4" x14ac:dyDescent="0.25">
      <c r="A71" s="4">
        <v>44470</v>
      </c>
      <c r="B71" s="17">
        <v>139.51475869967891</v>
      </c>
      <c r="C71" s="36">
        <v>143.32018242264803</v>
      </c>
      <c r="D71" s="36">
        <v>145.30255603451579</v>
      </c>
    </row>
    <row r="72" spans="1:4" x14ac:dyDescent="0.25">
      <c r="A72" s="4">
        <v>44501</v>
      </c>
      <c r="B72" s="17">
        <v>143.75187761888859</v>
      </c>
      <c r="C72" s="36">
        <v>145.6282008947839</v>
      </c>
      <c r="D72" s="36">
        <v>146.38014447859447</v>
      </c>
    </row>
    <row r="73" spans="1:4" x14ac:dyDescent="0.25">
      <c r="A73" s="4">
        <v>44531</v>
      </c>
      <c r="B73" s="17">
        <v>147.2298783181341</v>
      </c>
      <c r="C73" s="36">
        <v>149.65215293879575</v>
      </c>
      <c r="D73" s="36">
        <v>147.44080755534532</v>
      </c>
    </row>
    <row r="74" spans="1:4" x14ac:dyDescent="0.25">
      <c r="A74" s="4">
        <v>44562</v>
      </c>
      <c r="B74" s="17">
        <v>139.6379616122818</v>
      </c>
      <c r="C74" s="36">
        <v>148.50300074015578</v>
      </c>
      <c r="D74" s="36">
        <v>148.4404600410748</v>
      </c>
    </row>
    <row r="75" spans="1:4" x14ac:dyDescent="0.25">
      <c r="A75" s="4">
        <v>44593</v>
      </c>
      <c r="B75" s="17">
        <v>137.84951352507593</v>
      </c>
      <c r="C75" s="36">
        <v>150.71219600987763</v>
      </c>
      <c r="D75" s="36">
        <v>149.33271238306372</v>
      </c>
    </row>
    <row r="76" spans="1:4" x14ac:dyDescent="0.25">
      <c r="A76" s="4">
        <v>44621</v>
      </c>
      <c r="B76" s="17">
        <v>153.93085079425231</v>
      </c>
      <c r="C76" s="36">
        <v>150.36649250775957</v>
      </c>
      <c r="D76" s="36">
        <v>150.07881778771394</v>
      </c>
    </row>
    <row r="77" spans="1:4" x14ac:dyDescent="0.25">
      <c r="A77" s="4">
        <v>44652</v>
      </c>
      <c r="B77" s="17">
        <v>157.66169217344401</v>
      </c>
      <c r="C77" s="36">
        <v>152.26721240793535</v>
      </c>
      <c r="D77" s="36">
        <v>150.651089556285</v>
      </c>
    </row>
    <row r="78" spans="1:4" x14ac:dyDescent="0.25">
      <c r="A78" s="4">
        <v>44682</v>
      </c>
      <c r="B78" s="17">
        <v>164.68936311408291</v>
      </c>
      <c r="C78" s="36">
        <v>152.22665108010588</v>
      </c>
      <c r="D78" s="36">
        <v>151.03332176495991</v>
      </c>
    </row>
    <row r="79" spans="1:4" x14ac:dyDescent="0.25">
      <c r="A79" s="4">
        <v>44713</v>
      </c>
      <c r="B79" s="17">
        <v>161.45483428121702</v>
      </c>
      <c r="C79" s="36">
        <v>154.32065688488396</v>
      </c>
      <c r="D79" s="36">
        <v>151.22201815253945</v>
      </c>
    </row>
    <row r="80" spans="1:4" x14ac:dyDescent="0.25">
      <c r="A80" s="4">
        <v>44743</v>
      </c>
      <c r="B80" s="17">
        <v>152.4453874358741</v>
      </c>
      <c r="C80" s="36">
        <v>152.52038638813951</v>
      </c>
      <c r="D80" s="36">
        <v>151.23059877801032</v>
      </c>
    </row>
    <row r="81" spans="1:4" x14ac:dyDescent="0.25">
      <c r="A81" s="4">
        <v>44774</v>
      </c>
      <c r="B81" s="17">
        <v>151.46573891606729</v>
      </c>
      <c r="C81" s="36">
        <v>151.65878749519123</v>
      </c>
      <c r="D81" s="36">
        <v>151.08612942118208</v>
      </c>
    </row>
    <row r="82" spans="1:4" x14ac:dyDescent="0.25">
      <c r="A82" s="4">
        <v>44805</v>
      </c>
      <c r="B82" s="17">
        <v>149.17434970526307</v>
      </c>
      <c r="C82" s="36">
        <v>150.70875085496451</v>
      </c>
      <c r="D82" s="36">
        <v>150.82457670878878</v>
      </c>
    </row>
    <row r="83" spans="1:4" x14ac:dyDescent="0.25">
      <c r="A83" s="4">
        <v>44835</v>
      </c>
      <c r="B83" s="17">
        <v>146.55439616164352</v>
      </c>
      <c r="C83" s="36">
        <v>149.06554743419156</v>
      </c>
      <c r="D83" s="36">
        <v>150.48557863738</v>
      </c>
    </row>
    <row r="84" spans="1:4" x14ac:dyDescent="0.25">
      <c r="A84" s="4">
        <v>44866</v>
      </c>
      <c r="B84" s="17">
        <v>148.03049492949961</v>
      </c>
      <c r="C84" s="36">
        <v>148.29221401437047</v>
      </c>
      <c r="D84" s="36">
        <v>150.10659984539819</v>
      </c>
    </row>
    <row r="85" spans="1:4" x14ac:dyDescent="0.25">
      <c r="A85" s="4">
        <v>44896</v>
      </c>
      <c r="B85" s="17">
        <v>146.18080633804541</v>
      </c>
      <c r="C85" s="36">
        <v>148.43349371359295</v>
      </c>
      <c r="D85" s="36">
        <v>149.72034836077549</v>
      </c>
    </row>
    <row r="86" spans="1:4" x14ac:dyDescent="0.25">
      <c r="A86" s="4">
        <v>44927</v>
      </c>
      <c r="B86" s="17">
        <v>143.03462349514643</v>
      </c>
      <c r="C86" s="36">
        <v>149.92114342631578</v>
      </c>
      <c r="D86" s="36">
        <v>149.34922137615646</v>
      </c>
    </row>
    <row r="87" spans="1:4" x14ac:dyDescent="0.25">
      <c r="A87" s="4">
        <v>44958</v>
      </c>
      <c r="B87" s="17">
        <v>137.26646276487918</v>
      </c>
      <c r="C87" s="36">
        <v>150.10029003096659</v>
      </c>
      <c r="D87" s="36">
        <v>149.00211604628635</v>
      </c>
    </row>
    <row r="88" spans="1:4" x14ac:dyDescent="0.25">
      <c r="A88" s="4">
        <v>44986</v>
      </c>
      <c r="B88" s="17">
        <v>155.06501366860087</v>
      </c>
      <c r="C88" s="36">
        <v>150.75256289433395</v>
      </c>
      <c r="D88" s="36">
        <v>148.67363087150412</v>
      </c>
    </row>
    <row r="89" spans="1:4" x14ac:dyDescent="0.25">
      <c r="A89" s="4">
        <v>45017</v>
      </c>
      <c r="B89" s="17">
        <v>150.05952685002168</v>
      </c>
      <c r="C89" s="36">
        <v>147.53224583499846</v>
      </c>
      <c r="D89" s="36">
        <v>148.34803699709209</v>
      </c>
    </row>
    <row r="90" spans="1:4" x14ac:dyDescent="0.25">
      <c r="A90" s="4">
        <v>45047</v>
      </c>
      <c r="B90" s="17">
        <v>153.81085419208719</v>
      </c>
      <c r="C90" s="36">
        <v>145.62328742845165</v>
      </c>
      <c r="D90" s="36">
        <v>148.0018911303971</v>
      </c>
    </row>
    <row r="91" spans="1:4" x14ac:dyDescent="0.25">
      <c r="A91" s="4">
        <v>45078</v>
      </c>
      <c r="B91" s="17">
        <v>152.59547604983808</v>
      </c>
      <c r="C91" s="36">
        <v>146.08926594642224</v>
      </c>
      <c r="D91" s="36">
        <v>147.61471669119589</v>
      </c>
    </row>
    <row r="92" spans="1:4" x14ac:dyDescent="0.25">
      <c r="A92" s="4">
        <v>45108</v>
      </c>
      <c r="B92" s="17">
        <v>150.20312548746972</v>
      </c>
      <c r="C92" s="36">
        <v>148.6911839315234</v>
      </c>
      <c r="D92" s="36">
        <v>147.17511504295197</v>
      </c>
    </row>
    <row r="93" spans="1:4" x14ac:dyDescent="0.25">
      <c r="A93" s="4">
        <v>45139</v>
      </c>
      <c r="B93" s="17">
        <v>151.92217936039572</v>
      </c>
      <c r="C93" s="36">
        <v>150.0285645140801</v>
      </c>
      <c r="D93" s="36">
        <v>146.68020263880157</v>
      </c>
    </row>
    <row r="94" spans="1:4" x14ac:dyDescent="0.25">
      <c r="A94" s="4">
        <v>45170</v>
      </c>
      <c r="B94" s="17">
        <v>148.41237963196167</v>
      </c>
      <c r="C94" s="36">
        <v>149.64368007725099</v>
      </c>
      <c r="D94" s="36">
        <v>146.14050006800522</v>
      </c>
    </row>
    <row r="95" spans="1:4" x14ac:dyDescent="0.25">
      <c r="A95" s="4">
        <v>45200</v>
      </c>
      <c r="B95" s="17">
        <v>147.51381302893859</v>
      </c>
      <c r="C95" s="36">
        <v>148.00946878449926</v>
      </c>
      <c r="D95" s="36">
        <v>145.57967263807711</v>
      </c>
    </row>
    <row r="96" spans="1:4" x14ac:dyDescent="0.25">
      <c r="A96" s="4">
        <v>45231</v>
      </c>
      <c r="B96" s="17">
        <v>146.36635231658468</v>
      </c>
      <c r="C96" s="36">
        <v>146.35986201157135</v>
      </c>
      <c r="D96" s="36">
        <v>145.02944531059569</v>
      </c>
    </row>
    <row r="97" spans="1:4" x14ac:dyDescent="0.25">
      <c r="A97" s="4">
        <v>45261</v>
      </c>
      <c r="B97" s="17">
        <v>139.342627273609</v>
      </c>
      <c r="C97" s="36">
        <v>142.8408797734873</v>
      </c>
      <c r="D97" s="36">
        <v>144.53417943799141</v>
      </c>
    </row>
    <row r="98" spans="1:4" x14ac:dyDescent="0.25">
      <c r="A98" s="4">
        <v>45292</v>
      </c>
      <c r="B98" s="17">
        <v>137.37335131476613</v>
      </c>
      <c r="C98" s="36">
        <v>143.50372627874964</v>
      </c>
      <c r="D98" s="36">
        <v>144.14240026401174</v>
      </c>
    </row>
    <row r="99" spans="1:4" x14ac:dyDescent="0.25">
      <c r="A99" s="4">
        <v>45323</v>
      </c>
      <c r="B99" s="17">
        <v>133.46450585818494</v>
      </c>
      <c r="C99" s="36">
        <v>143.73405745303077</v>
      </c>
      <c r="D99" s="36">
        <v>143.90035667692231</v>
      </c>
    </row>
    <row r="100" spans="1:4" x14ac:dyDescent="0.25">
      <c r="A100" s="4">
        <v>45352</v>
      </c>
      <c r="B100" s="17">
        <v>142.39572369405857</v>
      </c>
      <c r="C100" s="36">
        <v>142.0898066454663</v>
      </c>
      <c r="D100" s="36">
        <v>143.84698353493195</v>
      </c>
    </row>
    <row r="101" spans="1:4" x14ac:dyDescent="0.25">
      <c r="A101" s="4">
        <v>45383</v>
      </c>
      <c r="B101" s="17">
        <v>147.25689957052242</v>
      </c>
      <c r="C101" s="36">
        <v>141.12508437171982</v>
      </c>
      <c r="D101" s="36">
        <v>144.00290416304108</v>
      </c>
    </row>
    <row r="102" spans="1:4" x14ac:dyDescent="0.25">
      <c r="A102" s="4">
        <v>45413</v>
      </c>
      <c r="B102" s="17">
        <v>156.76909867816687</v>
      </c>
      <c r="C102" s="36">
        <v>142.83832491106693</v>
      </c>
      <c r="D102" s="36">
        <v>144.36812819412728</v>
      </c>
    </row>
    <row r="103" spans="1:4" x14ac:dyDescent="0.25">
      <c r="A103" s="4">
        <v>45444</v>
      </c>
      <c r="B103" s="17">
        <v>147.35712225489846</v>
      </c>
      <c r="C103" s="36">
        <v>143.68907555762658</v>
      </c>
      <c r="D103" s="36">
        <v>144.92532565270611</v>
      </c>
    </row>
    <row r="104" spans="1:4" x14ac:dyDescent="0.25">
      <c r="A104" s="4">
        <v>45474</v>
      </c>
      <c r="B104" s="17">
        <v>149.65170282067913</v>
      </c>
      <c r="C104" s="36">
        <v>147.28415957594882</v>
      </c>
      <c r="D104" s="36">
        <v>145.63964072356882</v>
      </c>
    </row>
    <row r="105" spans="1:4" x14ac:dyDescent="0.25">
      <c r="A105" s="4">
        <v>45505</v>
      </c>
      <c r="B105" s="17">
        <v>147.28124861080667</v>
      </c>
      <c r="C105" s="36">
        <v>147.82949220892567</v>
      </c>
      <c r="D105" s="36">
        <v>146.46314634054664</v>
      </c>
    </row>
    <row r="106" spans="1:4" x14ac:dyDescent="0.25">
      <c r="A106" s="4">
        <v>45536</v>
      </c>
      <c r="B106" s="17">
        <v>144.79669856581739</v>
      </c>
      <c r="C106" s="36">
        <v>147.86734414916225</v>
      </c>
      <c r="D106" s="36">
        <v>147.34307891115623</v>
      </c>
    </row>
    <row r="107" spans="1:4" x14ac:dyDescent="0.25">
      <c r="A107" s="4">
        <v>45566</v>
      </c>
      <c r="B107" s="17">
        <v>148.10394079332772</v>
      </c>
      <c r="C107" s="36">
        <v>149.07724609103079</v>
      </c>
      <c r="D107" s="36">
        <v>148.22246905613449</v>
      </c>
    </row>
    <row r="108" spans="1:4" x14ac:dyDescent="0.25">
      <c r="A108" s="4">
        <v>45597</v>
      </c>
      <c r="B108" s="17">
        <v>148.17872904548861</v>
      </c>
      <c r="C108" s="36">
        <v>150.80674041817159</v>
      </c>
      <c r="D108" s="36">
        <v>149.05295938117266</v>
      </c>
    </row>
    <row r="109" spans="1:4" x14ac:dyDescent="0.25">
      <c r="A109" s="4">
        <v>45627</v>
      </c>
      <c r="B109" s="17">
        <v>148.67761660915863</v>
      </c>
      <c r="C109" s="36">
        <v>151.46158068205571</v>
      </c>
      <c r="D109" s="36">
        <v>149.80008623128035</v>
      </c>
    </row>
    <row r="110" spans="1:4" x14ac:dyDescent="0.25">
      <c r="A110" s="4">
        <v>45658</v>
      </c>
      <c r="B110" s="17">
        <v>146.49668450002147</v>
      </c>
      <c r="C110" s="36">
        <v>151.9028548224955</v>
      </c>
      <c r="D110" s="36">
        <v>150.44087661321521</v>
      </c>
    </row>
    <row r="111" spans="1:4" x14ac:dyDescent="0.25">
      <c r="A111" s="4">
        <v>45689</v>
      </c>
      <c r="B111" s="17">
        <v>141.40461989508793</v>
      </c>
      <c r="C111" s="36">
        <v>153.49352013447819</v>
      </c>
      <c r="D111" s="36">
        <v>150.96654691826183</v>
      </c>
    </row>
    <row r="112" spans="1:4" x14ac:dyDescent="0.25">
      <c r="A112" s="4">
        <v>45717</v>
      </c>
      <c r="B112" s="17">
        <v>150.61008323211774</v>
      </c>
      <c r="C112" s="36">
        <v>149.31840483832218</v>
      </c>
      <c r="D112" s="36">
        <v>151.38172496348201</v>
      </c>
    </row>
    <row r="113" spans="1:4" x14ac:dyDescent="0.25">
      <c r="A113" s="4">
        <v>45748</v>
      </c>
      <c r="B113" s="17">
        <v>158.93908114668073</v>
      </c>
      <c r="C113" s="36">
        <v>152.35852404350794</v>
      </c>
      <c r="D113" s="36">
        <v>151.70088729461301</v>
      </c>
    </row>
    <row r="114" spans="1:4" x14ac:dyDescent="0.25">
      <c r="A114" s="4">
        <v>45778</v>
      </c>
      <c r="B114" s="17">
        <v>165.07455171005421</v>
      </c>
      <c r="C114" s="36">
        <v>152.12964111898245</v>
      </c>
      <c r="D114" s="36">
        <v>151.94658597568645</v>
      </c>
    </row>
    <row r="115" spans="1:4" x14ac:dyDescent="0.25">
      <c r="A115" s="4">
        <v>45809</v>
      </c>
      <c r="B115" s="17">
        <v>156.78921353289212</v>
      </c>
      <c r="C115" s="36">
        <v>151.50751953044457</v>
      </c>
      <c r="D115" s="36">
        <v>152.14393461496158</v>
      </c>
    </row>
    <row r="116" spans="1:4" x14ac:dyDescent="0.25">
      <c r="A116" s="4">
        <v>45839</v>
      </c>
      <c r="B116" s="17">
        <v>153.77120720937</v>
      </c>
      <c r="C116" s="36">
        <v>151.354343475533</v>
      </c>
      <c r="D116" s="36">
        <v>152.31655807533912</v>
      </c>
    </row>
    <row r="117" spans="1:4" x14ac:dyDescent="0.25">
      <c r="A117" s="4">
        <v>45870</v>
      </c>
      <c r="B117" s="17">
        <v>150.37620998417583</v>
      </c>
      <c r="C117" s="36">
        <v>152.36783814947248</v>
      </c>
      <c r="D117" s="36">
        <v>152.485181818429</v>
      </c>
    </row>
    <row r="118" spans="1:4" x14ac:dyDescent="0.25">
      <c r="A118" s="4">
        <v>45901</v>
      </c>
      <c r="B118" s="17">
        <v>151.7041464938178</v>
      </c>
      <c r="C118" s="36">
        <v>153.40609674320959</v>
      </c>
      <c r="D118" s="36">
        <v>152.66272535633675</v>
      </c>
    </row>
    <row r="119" spans="1:4" x14ac:dyDescent="0.25">
      <c r="A119" s="4">
        <v>45931</v>
      </c>
      <c r="B119" s="17">
        <v>152.83388431255179</v>
      </c>
      <c r="C119" s="36">
        <v>153.10436298931441</v>
      </c>
      <c r="D119" s="36">
        <v>152.85582558966763</v>
      </c>
    </row>
    <row r="120" spans="1:4" x14ac:dyDescent="0.25">
      <c r="A120" s="4">
        <v>45962</v>
      </c>
      <c r="B120" s="17">
        <v>147.96980447689901</v>
      </c>
      <c r="C120" s="36">
        <v>152.98368629623431</v>
      </c>
      <c r="D120" s="36">
        <v>153.06910313427898</v>
      </c>
    </row>
    <row r="121" spans="1:4" x14ac:dyDescent="0.25">
      <c r="A121" s="4">
        <v>45992</v>
      </c>
      <c r="B121" s="17">
        <v>153.85251211265549</v>
      </c>
      <c r="C121" s="36">
        <v>155.89520740777738</v>
      </c>
      <c r="D121" s="36">
        <v>153.30538384870047</v>
      </c>
    </row>
    <row r="122" spans="1:4" x14ac:dyDescent="0.25">
      <c r="A122" s="4">
        <v>46023</v>
      </c>
      <c r="B122" s="17">
        <v>149.43188619926431</v>
      </c>
      <c r="C122" s="36">
        <v>156.36605874815257</v>
      </c>
      <c r="D122" s="36">
        <v>153.56717850732065</v>
      </c>
    </row>
    <row r="123" spans="1:4" x14ac:dyDescent="0.25">
      <c r="A123" s="4">
        <v>46054</v>
      </c>
      <c r="B123" s="17">
        <v>139.3365199989212</v>
      </c>
      <c r="C123" s="36">
        <v>152.47861532335506</v>
      </c>
      <c r="D123" s="36">
        <v>153.8599087710904</v>
      </c>
    </row>
    <row r="124" spans="1:4" x14ac:dyDescent="0.25">
      <c r="A124" s="4">
        <v>46082</v>
      </c>
      <c r="B124" s="17">
        <v>159.9499096193297</v>
      </c>
      <c r="C124" s="36">
        <v>156.4698201506535</v>
      </c>
      <c r="D124" s="36">
        <v>154.18637754509663</v>
      </c>
    </row>
    <row r="125" spans="1:4" x14ac:dyDescent="0.25">
      <c r="A125" s="4">
        <v>46113</v>
      </c>
      <c r="B125" s="17">
        <v>161.71805294443547</v>
      </c>
      <c r="C125" s="36">
        <v>153.90332453400006</v>
      </c>
      <c r="D125" s="36">
        <v>154.54371532399702</v>
      </c>
    </row>
    <row r="126" spans="1:4" x14ac:dyDescent="0.25">
      <c r="A126" s="4">
        <v>46143</v>
      </c>
      <c r="B126" s="17">
        <v>165.66808413621425</v>
      </c>
      <c r="C126" s="36">
        <v>152.96249448451684</v>
      </c>
      <c r="D126" s="36">
        <v>154.92890282828878</v>
      </c>
    </row>
    <row r="127" spans="1:4" x14ac:dyDescent="0.25">
      <c r="A127" s="4">
        <v>46174</v>
      </c>
      <c r="B127" s="40">
        <v>161.01331908191355</v>
      </c>
      <c r="C127" s="41">
        <v>154.1172638221334</v>
      </c>
      <c r="D127" s="41">
        <v>155.31027391562463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tabSelected="1" zoomScaleNormal="100" workbookViewId="0"/>
  </sheetViews>
  <sheetFormatPr baseColWidth="10" defaultColWidth="10.7109375" defaultRowHeight="15" x14ac:dyDescent="0.25"/>
  <cols>
    <col min="1" max="1" width="36.7109375" customWidth="1"/>
  </cols>
  <sheetData>
    <row r="1" spans="1:8" x14ac:dyDescent="0.25">
      <c r="A1" s="10" t="s">
        <v>105</v>
      </c>
      <c r="B1" s="10" t="s">
        <v>6</v>
      </c>
      <c r="C1" s="10" t="s">
        <v>106</v>
      </c>
      <c r="D1" s="10" t="s">
        <v>107</v>
      </c>
      <c r="E1" s="10" t="s">
        <v>108</v>
      </c>
      <c r="F1" s="10" t="s">
        <v>109</v>
      </c>
      <c r="G1" s="10" t="s">
        <v>110</v>
      </c>
      <c r="H1" s="10" t="s">
        <v>111</v>
      </c>
    </row>
    <row r="2" spans="1:8" x14ac:dyDescent="0.25">
      <c r="A2" s="15" t="s">
        <v>112</v>
      </c>
      <c r="B2" s="37">
        <v>2.4</v>
      </c>
      <c r="C2" s="20">
        <v>1.5</v>
      </c>
      <c r="D2" s="20">
        <v>1.2</v>
      </c>
      <c r="E2" s="20">
        <v>1.8</v>
      </c>
      <c r="F2" s="20">
        <v>1.7</v>
      </c>
      <c r="G2" s="20">
        <v>1.5</v>
      </c>
      <c r="H2" s="16">
        <v>1.8977979762388131</v>
      </c>
    </row>
    <row r="3" spans="1:8" x14ac:dyDescent="0.25">
      <c r="A3" s="15" t="s">
        <v>113</v>
      </c>
      <c r="B3" s="37">
        <v>0.2</v>
      </c>
      <c r="C3" s="20">
        <v>0.3</v>
      </c>
      <c r="D3" s="20">
        <v>0.2</v>
      </c>
      <c r="E3" s="20">
        <v>0.3</v>
      </c>
      <c r="F3" s="20">
        <v>-0.1</v>
      </c>
      <c r="G3" s="20">
        <v>0.8</v>
      </c>
      <c r="H3" s="16">
        <v>0.27933982112635647</v>
      </c>
    </row>
    <row r="4" spans="1:8" x14ac:dyDescent="0.25">
      <c r="A4" s="15" t="s">
        <v>114</v>
      </c>
      <c r="B4" s="37">
        <v>0.9</v>
      </c>
      <c r="C4" s="20">
        <v>1.8</v>
      </c>
      <c r="D4" s="20">
        <v>1.5</v>
      </c>
      <c r="E4" s="20">
        <v>1.3</v>
      </c>
      <c r="F4" s="20">
        <v>2</v>
      </c>
      <c r="G4" s="20">
        <v>2</v>
      </c>
      <c r="H4" s="16">
        <v>1.3700333897472827</v>
      </c>
    </row>
    <row r="5" spans="1:8" x14ac:dyDescent="0.25">
      <c r="A5" s="15" t="s">
        <v>115</v>
      </c>
      <c r="B5" s="37">
        <v>2.2000000000000002</v>
      </c>
      <c r="C5" s="20">
        <v>1.7</v>
      </c>
      <c r="D5" s="20">
        <v>2.5</v>
      </c>
      <c r="E5" s="20">
        <v>1.4</v>
      </c>
      <c r="F5" s="20">
        <v>1.9</v>
      </c>
      <c r="G5" s="20">
        <v>1.1000000000000001</v>
      </c>
      <c r="H5" s="16">
        <v>1.9690480789707809</v>
      </c>
    </row>
    <row r="6" spans="1:8" x14ac:dyDescent="0.25">
      <c r="A6" s="15" t="s">
        <v>116</v>
      </c>
      <c r="B6" s="37">
        <v>6.9</v>
      </c>
      <c r="C6" s="20">
        <v>8.6</v>
      </c>
      <c r="D6" s="20">
        <v>2</v>
      </c>
      <c r="E6" s="20">
        <v>5.6</v>
      </c>
      <c r="F6" s="20">
        <v>13.8</v>
      </c>
      <c r="G6" s="20">
        <v>6.5</v>
      </c>
      <c r="H6" s="16">
        <v>7.3461305636634444</v>
      </c>
    </row>
    <row r="7" spans="1:8" x14ac:dyDescent="0.25">
      <c r="A7" s="15" t="s">
        <v>117</v>
      </c>
      <c r="B7" s="37">
        <v>0.4</v>
      </c>
      <c r="C7" s="20">
        <v>4.4000000000000004</v>
      </c>
      <c r="D7" s="20">
        <v>9.9</v>
      </c>
      <c r="E7" s="20">
        <v>13.9</v>
      </c>
      <c r="F7" s="20">
        <v>5.5</v>
      </c>
      <c r="G7" s="20">
        <v>8</v>
      </c>
      <c r="H7" s="16">
        <v>3.5128162223345027</v>
      </c>
    </row>
    <row r="8" spans="1:8" x14ac:dyDescent="0.25">
      <c r="A8" s="15" t="s">
        <v>118</v>
      </c>
      <c r="B8" s="37">
        <v>1.5</v>
      </c>
      <c r="C8" s="20">
        <v>2.5</v>
      </c>
      <c r="D8" s="20">
        <v>2.4</v>
      </c>
      <c r="E8" s="20">
        <v>2</v>
      </c>
      <c r="F8" s="20">
        <v>2</v>
      </c>
      <c r="G8" s="20">
        <v>2.2999999999999998</v>
      </c>
      <c r="H8" s="16">
        <v>2.0257045159871145</v>
      </c>
    </row>
    <row r="9" spans="1:8" x14ac:dyDescent="0.25">
      <c r="A9" s="15" t="s">
        <v>119</v>
      </c>
      <c r="B9" s="37">
        <v>0.8</v>
      </c>
      <c r="C9" s="20">
        <v>1.2</v>
      </c>
      <c r="D9" s="20">
        <v>1.8</v>
      </c>
      <c r="E9" s="20">
        <v>1</v>
      </c>
      <c r="F9" s="20">
        <v>-0.3</v>
      </c>
      <c r="G9" s="20">
        <v>1</v>
      </c>
      <c r="H9" s="16">
        <v>0.97743722646148612</v>
      </c>
    </row>
    <row r="10" spans="1:8" x14ac:dyDescent="0.25">
      <c r="A10" s="15" t="s">
        <v>120</v>
      </c>
      <c r="B10" s="37">
        <v>2.7</v>
      </c>
      <c r="C10" s="20">
        <v>0.9</v>
      </c>
      <c r="D10" s="20">
        <v>2.5</v>
      </c>
      <c r="E10" s="20">
        <v>0.8</v>
      </c>
      <c r="F10" s="20">
        <v>2.4</v>
      </c>
      <c r="G10" s="20">
        <v>2.5</v>
      </c>
      <c r="H10" s="16">
        <v>1.9540169392286977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IPC-Seriemensual</vt:lpstr>
      <vt:lpstr>IPC-DIC-Div</vt:lpstr>
      <vt:lpstr>IPC-Interanual</vt:lpstr>
      <vt:lpstr>Producto</vt:lpstr>
      <vt:lpstr>Pobreza-Aglo</vt:lpstr>
      <vt:lpstr>Pobreza regiones</vt:lpstr>
      <vt:lpstr>BC por zonas</vt:lpstr>
      <vt:lpstr>Expo-ICA</vt:lpstr>
      <vt:lpstr>Impo-ICA</vt:lpstr>
      <vt:lpstr>VAB</vt:lpstr>
      <vt:lpstr>EMAE</vt:lpstr>
      <vt:lpstr>Aperturas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Nahuel</dc:creator>
  <dc:description/>
  <cp:lastModifiedBy>nahuel bargas</cp:lastModifiedBy>
  <cp:revision>5</cp:revision>
  <dcterms:created xsi:type="dcterms:W3CDTF">2019-09-25T23:03:49Z</dcterms:created>
  <dcterms:modified xsi:type="dcterms:W3CDTF">2026-09-12T16:27:48Z</dcterms:modified>
  <dc:language>es-AR</dc:language>
</cp:coreProperties>
</file>