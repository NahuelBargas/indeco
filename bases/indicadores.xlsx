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C5BB5077-DC02-461F-B120-4851577723DD}" xr6:coauthVersionLast="47" xr6:coauthVersionMax="47" xr10:uidLastSave="{00000000-0000-0000-0000-000000000000}"/>
  <bookViews>
    <workbookView xWindow="-120" yWindow="-120" windowWidth="19440" windowHeight="11040" tabRatio="500" firstSheet="7" activeTab="9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<sst xmlns="http://schemas.openxmlformats.org/spreadsheetml/2006/main" count="345" uniqueCount="225">
  <si>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</si>
  <si>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</si>
  <si>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</si>
  <si>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</si>
  <si>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</si>
  <si>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</si>
  <si>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</si>
  <si>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</si>
  <si>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</si>
  <si>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</si>
  <si>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</si>
  <si>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</si>
  <si>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</si>
  <si>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</si>
  <si>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</si>
  <si>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</si>
  <si>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</si>
  <si>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</si>
  <si>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</si>
  <si>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</si>
  <si>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</si>
  <si>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</si>
  <si>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</si>
  <si>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</si>
  <si>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</si>
  <si>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</si>
  <si>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</si>
  <si>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</si>
  <si>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</si>
  <si>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</si>
  <si>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</si>
  <si>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</si>
  <si>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</si>
  <si>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</si>
  <si>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</si>
  <si>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</si>
  <si>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</si>
  <si>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</si>
  <si>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</si>
  <si>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</si>
  <si>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</si>
  <si>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 xml:space="preserve">Gran Mendoza </t>
  </si>
  <si>
    <t xml:space="preserve">Gran San Juan </t>
  </si>
  <si>
    <t>Gran San Luis</t>
  </si>
  <si>
    <t>Corrientes</t>
  </si>
  <si>
    <t>Formosa</t>
  </si>
  <si>
    <t xml:space="preserve">Gran Resistencia </t>
  </si>
  <si>
    <t>Posadas</t>
  </si>
  <si>
    <t>Gran Catamarca</t>
  </si>
  <si>
    <t>Gran Tucumán - Tafí Viejo</t>
  </si>
  <si>
    <t>Jujuy - Palpalá</t>
  </si>
  <si>
    <t>La Rioja</t>
  </si>
  <si>
    <t>Salta</t>
  </si>
  <si>
    <t xml:space="preserve">Santiago del Estero - La Banda </t>
  </si>
  <si>
    <t>Bahía Blanca - Cerri</t>
  </si>
  <si>
    <t xml:space="preserve">Concordia </t>
  </si>
  <si>
    <t>Gran Córdoba</t>
  </si>
  <si>
    <t>Gran La Plata</t>
  </si>
  <si>
    <t>Gran Rosario</t>
  </si>
  <si>
    <t xml:space="preserve">Gran Paraná </t>
  </si>
  <si>
    <t>Gran Santa Fe</t>
  </si>
  <si>
    <t xml:space="preserve">Mar del Plata </t>
  </si>
  <si>
    <t>Río Cuarto</t>
  </si>
  <si>
    <t>Santa Rosa - Toay</t>
  </si>
  <si>
    <t xml:space="preserve">San Nicolás - Villa Constitución </t>
  </si>
  <si>
    <t>Comodoro Rivadavia - Rada Tilly</t>
  </si>
  <si>
    <t>Neuquen - Plottier</t>
  </si>
  <si>
    <t>Río Gallegos</t>
  </si>
  <si>
    <t>Ushuaia - Río Grande</t>
  </si>
  <si>
    <t xml:space="preserve">Rawson - Trelew 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</si>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</sst>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0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0" fontId="0" fillId="0" borderId="0" xfId="0" applyAlignment="1">
      <alignment horizontal="center"/>
    </xf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0" fillId="5" borderId="0" xfId="0" applyNumberFormat="1" applyFont="1" applyFill="1"/>
    <xf numFmtId="3" fontId="11" fillId="5" borderId="1" xfId="0" quotePrefix="1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opLeftCell="A90" zoomScaleNormal="100" workbookViewId="0">
      <selection activeCell="C108" sqref="C108:E108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2.5</v>
      </c>
      <c r="C2" s="24">
        <v>2.5</v>
      </c>
      <c r="D2" s="24">
        <v>2.5</v>
      </c>
      <c r="E2" s="24">
        <v>2.4</v>
      </c>
      <c r="F2" s="24">
        <v>2.2999999999999998</v>
      </c>
      <c r="G2" s="24">
        <v>2.8</v>
      </c>
      <c r="H2" s="24">
        <v>2.2999999999999998</v>
      </c>
    </row>
    <row r="3" spans="1:8" x14ac:dyDescent="0.25">
      <c r="A3" s="9" t="s">
        <v>13</v>
      </c>
      <c r="B3" s="22">
        <v>2.8</v>
      </c>
      <c r="C3" s="22">
        <v>2.8</v>
      </c>
      <c r="D3" s="22">
        <v>2.7</v>
      </c>
      <c r="E3" s="22">
        <v>3.2</v>
      </c>
      <c r="F3" s="22">
        <v>3.3</v>
      </c>
      <c r="G3" s="22">
        <v>3.4</v>
      </c>
      <c r="H3" s="22">
        <v>2.1</v>
      </c>
    </row>
    <row r="4" spans="1:8" x14ac:dyDescent="0.25">
      <c r="A4" s="9" t="s">
        <v>14</v>
      </c>
      <c r="B4" s="22">
        <v>1.2</v>
      </c>
      <c r="C4" s="22">
        <v>1.2</v>
      </c>
      <c r="D4" s="22">
        <v>1.1000000000000001</v>
      </c>
      <c r="E4" s="22">
        <v>0.9</v>
      </c>
      <c r="F4" s="22">
        <v>1.1000000000000001</v>
      </c>
      <c r="G4" s="22">
        <v>1.4</v>
      </c>
      <c r="H4" s="22">
        <v>1.4</v>
      </c>
    </row>
    <row r="5" spans="1:8" x14ac:dyDescent="0.25">
      <c r="A5" s="9" t="s">
        <v>15</v>
      </c>
      <c r="B5" s="22">
        <v>0.5</v>
      </c>
      <c r="C5" s="22">
        <v>0.3</v>
      </c>
      <c r="D5" s="22">
        <v>0.9</v>
      </c>
      <c r="E5" s="22">
        <v>0.4</v>
      </c>
      <c r="F5" s="22">
        <v>1.1000000000000001</v>
      </c>
      <c r="G5" s="22">
        <v>0.5</v>
      </c>
      <c r="H5" s="22">
        <v>-0.5</v>
      </c>
    </row>
    <row r="6" spans="1:8" x14ac:dyDescent="0.25">
      <c r="A6" s="9" t="s">
        <v>16</v>
      </c>
      <c r="B6" s="22">
        <v>3.4</v>
      </c>
      <c r="C6" s="22">
        <v>3.3</v>
      </c>
      <c r="D6" s="22">
        <v>3.5</v>
      </c>
      <c r="E6" s="22">
        <v>1.8</v>
      </c>
      <c r="F6" s="22">
        <v>3.3</v>
      </c>
      <c r="G6" s="22">
        <v>4.7</v>
      </c>
      <c r="H6" s="22">
        <v>4.7</v>
      </c>
    </row>
    <row r="7" spans="1:8" x14ac:dyDescent="0.25">
      <c r="A7" s="9" t="s">
        <v>17</v>
      </c>
      <c r="B7" s="22">
        <v>1.1000000000000001</v>
      </c>
      <c r="C7" s="22">
        <v>1.1000000000000001</v>
      </c>
      <c r="D7" s="22">
        <v>1</v>
      </c>
      <c r="E7" s="22">
        <v>1.4</v>
      </c>
      <c r="F7" s="22">
        <v>1.1000000000000001</v>
      </c>
      <c r="G7" s="22">
        <v>1.1000000000000001</v>
      </c>
      <c r="H7" s="22">
        <v>2</v>
      </c>
    </row>
    <row r="8" spans="1:8" x14ac:dyDescent="0.25">
      <c r="A8" s="9" t="s">
        <v>18</v>
      </c>
      <c r="B8" s="22">
        <v>2.4</v>
      </c>
      <c r="C8" s="22">
        <v>2.5</v>
      </c>
      <c r="D8" s="22">
        <v>2.2999999999999998</v>
      </c>
      <c r="E8" s="22">
        <v>2.1</v>
      </c>
      <c r="F8" s="22">
        <v>2.5</v>
      </c>
      <c r="G8" s="22">
        <v>2.2000000000000002</v>
      </c>
      <c r="H8" s="22">
        <v>2.6</v>
      </c>
    </row>
    <row r="9" spans="1:8" x14ac:dyDescent="0.25">
      <c r="A9" s="9" t="s">
        <v>19</v>
      </c>
      <c r="B9" s="22">
        <v>3</v>
      </c>
      <c r="C9" s="22">
        <v>2.8</v>
      </c>
      <c r="D9" s="22">
        <v>3.1</v>
      </c>
      <c r="E9" s="22">
        <v>3.2</v>
      </c>
      <c r="F9" s="22">
        <v>2.5</v>
      </c>
      <c r="G9" s="22">
        <v>4.5999999999999996</v>
      </c>
      <c r="H9" s="22">
        <v>3.1</v>
      </c>
    </row>
    <row r="10" spans="1:8" x14ac:dyDescent="0.25">
      <c r="A10" s="9" t="s">
        <v>20</v>
      </c>
      <c r="B10" s="22">
        <v>2.7</v>
      </c>
      <c r="C10" s="22">
        <v>2.8</v>
      </c>
      <c r="D10" s="22">
        <v>2.6</v>
      </c>
      <c r="E10" s="22">
        <v>2.8</v>
      </c>
      <c r="F10" s="22">
        <v>2.5</v>
      </c>
      <c r="G10" s="22">
        <v>2.2999999999999998</v>
      </c>
      <c r="H10" s="22">
        <v>3</v>
      </c>
    </row>
    <row r="11" spans="1:8" x14ac:dyDescent="0.25">
      <c r="A11" s="9" t="s">
        <v>21</v>
      </c>
      <c r="B11" s="22">
        <v>2.4</v>
      </c>
      <c r="C11" s="22">
        <v>2.7</v>
      </c>
      <c r="D11" s="22">
        <v>2.7</v>
      </c>
      <c r="E11" s="22">
        <v>1.8</v>
      </c>
      <c r="F11" s="22">
        <v>0.8</v>
      </c>
      <c r="G11" s="22">
        <v>1.7</v>
      </c>
      <c r="H11" s="22">
        <v>1.7</v>
      </c>
    </row>
    <row r="12" spans="1:8" x14ac:dyDescent="0.25">
      <c r="A12" s="9" t="s">
        <v>22</v>
      </c>
      <c r="B12" s="22">
        <v>2.2000000000000002</v>
      </c>
      <c r="C12" s="22">
        <v>3.1</v>
      </c>
      <c r="D12" s="22">
        <v>1.4</v>
      </c>
      <c r="E12" s="22">
        <v>0.9</v>
      </c>
      <c r="F12" s="22">
        <v>1.4</v>
      </c>
      <c r="G12" s="22">
        <v>1.7</v>
      </c>
      <c r="H12" s="22">
        <v>2</v>
      </c>
    </row>
    <row r="13" spans="1:8" x14ac:dyDescent="0.25">
      <c r="A13" s="9" t="s">
        <v>23</v>
      </c>
      <c r="B13" s="22">
        <v>2.5</v>
      </c>
      <c r="C13" s="22">
        <v>2.6</v>
      </c>
      <c r="D13" s="22">
        <v>2.8</v>
      </c>
      <c r="E13" s="22">
        <v>3.3</v>
      </c>
      <c r="F13" s="22">
        <v>0.3</v>
      </c>
      <c r="G13" s="22">
        <v>1.7</v>
      </c>
      <c r="H13" s="22">
        <v>2.1</v>
      </c>
    </row>
    <row r="14" spans="1:8" x14ac:dyDescent="0.25">
      <c r="A14" s="9" t="s">
        <v>24</v>
      </c>
      <c r="B14" s="22">
        <v>2.5</v>
      </c>
      <c r="C14" s="22">
        <v>2.5</v>
      </c>
      <c r="D14" s="22">
        <v>2.6</v>
      </c>
      <c r="E14" s="22">
        <v>1.5</v>
      </c>
      <c r="F14" s="22">
        <v>2.8</v>
      </c>
      <c r="G14" s="22">
        <v>2.5</v>
      </c>
      <c r="H14" s="22">
        <v>2.5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31.4</v>
      </c>
      <c r="C2" s="33">
        <v>31.8</v>
      </c>
      <c r="D2" s="33">
        <v>31</v>
      </c>
      <c r="E2" s="33">
        <v>28.3</v>
      </c>
      <c r="F2" s="33">
        <v>31.6</v>
      </c>
      <c r="G2" s="33">
        <v>30.8</v>
      </c>
      <c r="H2" s="33">
        <v>33</v>
      </c>
    </row>
    <row r="3" spans="1:8" x14ac:dyDescent="0.25">
      <c r="A3" s="9" t="s">
        <v>13</v>
      </c>
      <c r="B3" s="34">
        <v>31.1</v>
      </c>
      <c r="C3" s="34">
        <v>32.299999999999997</v>
      </c>
      <c r="D3" s="34">
        <v>29.8</v>
      </c>
      <c r="E3" s="34">
        <v>29.8</v>
      </c>
      <c r="F3" s="34">
        <v>31.9</v>
      </c>
      <c r="G3" s="34">
        <v>32.6</v>
      </c>
      <c r="H3" s="34">
        <v>27.2</v>
      </c>
    </row>
    <row r="4" spans="1:8" x14ac:dyDescent="0.25">
      <c r="A4" s="9" t="s">
        <v>14</v>
      </c>
      <c r="B4" s="34">
        <v>24.9</v>
      </c>
      <c r="C4" s="34">
        <v>25.5</v>
      </c>
      <c r="D4" s="34">
        <v>24.7</v>
      </c>
      <c r="E4" s="34">
        <v>20.399999999999999</v>
      </c>
      <c r="F4" s="34">
        <v>23</v>
      </c>
      <c r="G4" s="34">
        <v>24.1</v>
      </c>
      <c r="H4" s="34">
        <v>27.8</v>
      </c>
    </row>
    <row r="5" spans="1:8" x14ac:dyDescent="0.25">
      <c r="A5" s="9" t="s">
        <v>15</v>
      </c>
      <c r="B5" s="34">
        <v>15.8</v>
      </c>
      <c r="C5" s="34">
        <v>15.1</v>
      </c>
      <c r="D5" s="34">
        <v>15.3</v>
      </c>
      <c r="E5" s="34">
        <v>15.4</v>
      </c>
      <c r="F5" s="34">
        <v>20.100000000000001</v>
      </c>
      <c r="G5" s="34">
        <v>17.399999999999999</v>
      </c>
      <c r="H5" s="34">
        <v>20</v>
      </c>
    </row>
    <row r="6" spans="1:8" x14ac:dyDescent="0.25">
      <c r="A6" s="9" t="s">
        <v>16</v>
      </c>
      <c r="B6" s="34">
        <v>44.2</v>
      </c>
      <c r="C6" s="34">
        <v>39.5</v>
      </c>
      <c r="D6" s="34">
        <v>51.5</v>
      </c>
      <c r="E6" s="34">
        <v>34.9</v>
      </c>
      <c r="F6" s="34">
        <v>41</v>
      </c>
      <c r="G6" s="34">
        <v>42.5</v>
      </c>
      <c r="H6" s="34">
        <v>62.1</v>
      </c>
    </row>
    <row r="7" spans="1:8" x14ac:dyDescent="0.25">
      <c r="A7" s="9" t="s">
        <v>17</v>
      </c>
      <c r="B7" s="34">
        <v>18</v>
      </c>
      <c r="C7" s="34">
        <v>18.899999999999999</v>
      </c>
      <c r="D7" s="34">
        <v>17.399999999999999</v>
      </c>
      <c r="E7" s="34">
        <v>12.2</v>
      </c>
      <c r="F7" s="34">
        <v>17.2</v>
      </c>
      <c r="G7" s="34">
        <v>18.899999999999999</v>
      </c>
      <c r="H7" s="34">
        <v>20.8</v>
      </c>
    </row>
    <row r="8" spans="1:8" x14ac:dyDescent="0.25">
      <c r="A8" s="9" t="s">
        <v>18</v>
      </c>
      <c r="B8" s="34">
        <v>28.2</v>
      </c>
      <c r="C8" s="34">
        <v>28.4</v>
      </c>
      <c r="D8" s="34">
        <v>28.3</v>
      </c>
      <c r="E8" s="34">
        <v>26.3</v>
      </c>
      <c r="F8" s="34">
        <v>28.9</v>
      </c>
      <c r="G8" s="34">
        <v>25.2</v>
      </c>
      <c r="H8" s="34">
        <v>30.8</v>
      </c>
    </row>
    <row r="9" spans="1:8" x14ac:dyDescent="0.25">
      <c r="A9" s="9" t="s">
        <v>19</v>
      </c>
      <c r="B9" s="34">
        <v>29.7</v>
      </c>
      <c r="C9" s="34">
        <v>29.8</v>
      </c>
      <c r="D9" s="34">
        <v>28.8</v>
      </c>
      <c r="E9" s="34">
        <v>32.9</v>
      </c>
      <c r="F9" s="34">
        <v>29.5</v>
      </c>
      <c r="G9" s="34">
        <v>28.6</v>
      </c>
      <c r="H9" s="34">
        <v>34.200000000000003</v>
      </c>
    </row>
    <row r="10" spans="1:8" x14ac:dyDescent="0.25">
      <c r="A10" s="9" t="s">
        <v>20</v>
      </c>
      <c r="B10" s="34">
        <v>37.200000000000003</v>
      </c>
      <c r="C10" s="34">
        <v>39.1</v>
      </c>
      <c r="D10" s="34">
        <v>35.4</v>
      </c>
      <c r="E10" s="34">
        <v>33.700000000000003</v>
      </c>
      <c r="F10" s="34">
        <v>37</v>
      </c>
      <c r="G10" s="34">
        <v>35.200000000000003</v>
      </c>
      <c r="H10" s="34">
        <v>38.299999999999997</v>
      </c>
    </row>
    <row r="11" spans="1:8" x14ac:dyDescent="0.25">
      <c r="A11" s="9" t="s">
        <v>21</v>
      </c>
      <c r="B11" s="34">
        <v>30.8</v>
      </c>
      <c r="C11" s="34">
        <v>31.4</v>
      </c>
      <c r="D11" s="34">
        <v>33</v>
      </c>
      <c r="E11" s="34">
        <v>24.6</v>
      </c>
      <c r="F11" s="34">
        <v>27.8</v>
      </c>
      <c r="G11" s="34">
        <v>27.7</v>
      </c>
      <c r="H11" s="34">
        <v>23.3</v>
      </c>
    </row>
    <row r="12" spans="1:8" x14ac:dyDescent="0.25">
      <c r="A12" s="9" t="s">
        <v>22</v>
      </c>
      <c r="B12" s="34">
        <v>55.1</v>
      </c>
      <c r="C12" s="34">
        <v>44.7</v>
      </c>
      <c r="D12" s="34">
        <v>60</v>
      </c>
      <c r="E12" s="34">
        <v>73</v>
      </c>
      <c r="F12" s="34">
        <v>80.099999999999994</v>
      </c>
      <c r="G12" s="34">
        <v>58.7</v>
      </c>
      <c r="H12" s="34">
        <v>84.1</v>
      </c>
    </row>
    <row r="13" spans="1:8" x14ac:dyDescent="0.25">
      <c r="A13" s="9" t="s">
        <v>23</v>
      </c>
      <c r="B13" s="34">
        <v>44.2</v>
      </c>
      <c r="C13" s="34">
        <v>43.1</v>
      </c>
      <c r="D13" s="34">
        <v>45.3</v>
      </c>
      <c r="E13" s="34">
        <v>44.1</v>
      </c>
      <c r="F13" s="34">
        <v>42.8</v>
      </c>
      <c r="G13" s="34">
        <v>42.9</v>
      </c>
      <c r="H13" s="34">
        <v>50.1</v>
      </c>
    </row>
    <row r="14" spans="1:8" x14ac:dyDescent="0.25">
      <c r="A14" s="9" t="s">
        <v>24</v>
      </c>
      <c r="B14" s="34">
        <v>32.200000000000003</v>
      </c>
      <c r="C14" s="34">
        <v>35.700000000000003</v>
      </c>
      <c r="D14" s="34">
        <v>30.4</v>
      </c>
      <c r="E14" s="34">
        <v>26</v>
      </c>
      <c r="F14" s="34">
        <v>26.8</v>
      </c>
      <c r="G14" s="34">
        <v>31.3</v>
      </c>
      <c r="H14" s="34">
        <v>29.9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8"/>
  <sheetViews>
    <sheetView topLeftCell="A78" zoomScaleNormal="100" workbookViewId="0">
      <selection activeCell="A88" sqref="A88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476076.35591188457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470012.80022148089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493891.12238798192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500480.50233110512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514983.24764611531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527064.5782008057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530103.2878765451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540072.65629019018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554499.36072981206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561170.97269354202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577074.9473486176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589452.33611095417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603536.53953781037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616075.60945719469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624421.53581424942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643736.32577510865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650156.81326832587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653370.04317222571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657667.74583037221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627510.03669392434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604984.05052486621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590520.62462346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613784.10582940001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626202.7246737713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645567.1335175815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674129.37854994042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676987.62755641807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685410.57814325311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701719.95832865476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710310.00486147264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715887.66436332592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715208.76132895402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708376.22005569842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683605.99878134322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705285.22539860196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716676.51360015152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716063.69146123226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720808.83227209072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725573.2191300554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719182.67834788037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708315.37698831095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702913.19880550797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697283.51011195104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700712.09794769145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710751.90614638862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728932.58641636837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727453.28403633856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718810.80995306326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713509.00776950188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701417.69900093763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703218.45737271302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707766.23024749616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714739.75730170158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721738.8931862677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731047.79495902965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738033.34560429957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734123.80379438028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703511.92695430492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701395.88870482845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690478.15246453509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693093.70549915161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696861.35118506756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696314.14262671897</v>
      </c>
      <c r="D64">
        <v>683900.89855257841</v>
      </c>
    </row>
    <row r="65" spans="1:6" x14ac:dyDescent="0.25">
      <c r="A65" s="10">
        <v>2019</v>
      </c>
      <c r="B65" s="10" t="s">
        <v>32</v>
      </c>
      <c r="C65" s="11">
        <v>686626.01504090067</v>
      </c>
      <c r="D65">
        <v>671361.13972242002</v>
      </c>
    </row>
    <row r="66" spans="1:6" x14ac:dyDescent="0.25">
      <c r="A66" s="10">
        <v>2020</v>
      </c>
      <c r="B66" s="10" t="s">
        <v>29</v>
      </c>
      <c r="C66" s="10">
        <v>656444.50206127646</v>
      </c>
      <c r="D66" s="10">
        <v>632389.35353461001</v>
      </c>
    </row>
    <row r="67" spans="1:6" x14ac:dyDescent="0.25">
      <c r="A67" s="10">
        <v>2020</v>
      </c>
      <c r="B67" s="10" t="s">
        <v>30</v>
      </c>
      <c r="C67" s="10">
        <v>563576.4456951567</v>
      </c>
      <c r="D67" s="10">
        <v>609379.98946480127</v>
      </c>
    </row>
    <row r="68" spans="1:6" x14ac:dyDescent="0.25">
      <c r="A68" s="10">
        <v>2020</v>
      </c>
      <c r="B68" s="10" t="s">
        <v>31</v>
      </c>
      <c r="C68" s="10">
        <v>623894.19861283677</v>
      </c>
      <c r="D68" s="10">
        <v>614192.47840422287</v>
      </c>
    </row>
    <row r="69" spans="1:6" x14ac:dyDescent="0.25">
      <c r="A69" s="10">
        <v>2020</v>
      </c>
      <c r="B69" s="10" t="s">
        <v>32</v>
      </c>
      <c r="C69" s="10">
        <v>654449.99823231436</v>
      </c>
      <c r="D69" s="10">
        <v>642403.32319795026</v>
      </c>
    </row>
    <row r="70" spans="1:6" x14ac:dyDescent="0.25">
      <c r="A70" s="10">
        <v>2021</v>
      </c>
      <c r="B70" s="10" t="s">
        <v>29</v>
      </c>
      <c r="C70" s="10">
        <v>677250.47982575209</v>
      </c>
      <c r="D70">
        <v>652831.97670632158</v>
      </c>
    </row>
    <row r="71" spans="1:6" x14ac:dyDescent="0.25">
      <c r="A71" s="10">
        <v>2021</v>
      </c>
      <c r="B71" s="10" t="s">
        <v>30</v>
      </c>
      <c r="C71" s="10">
        <v>679149.09279086394</v>
      </c>
      <c r="D71">
        <v>723516.62249067484</v>
      </c>
    </row>
    <row r="72" spans="1:6" x14ac:dyDescent="0.25">
      <c r="A72" s="10">
        <v>2021</v>
      </c>
      <c r="B72" s="10" t="s">
        <v>31</v>
      </c>
      <c r="C72" s="10">
        <v>693044.47480042151</v>
      </c>
      <c r="D72" s="10">
        <v>686756.46782667423</v>
      </c>
    </row>
    <row r="73" spans="1:6" x14ac:dyDescent="0.25">
      <c r="A73" s="10">
        <v>2021</v>
      </c>
      <c r="B73" s="10" t="s">
        <v>32</v>
      </c>
      <c r="C73" s="10">
        <v>709795.68871874886</v>
      </c>
      <c r="D73" s="10">
        <v>696134.66911211505</v>
      </c>
    </row>
    <row r="74" spans="1:6" x14ac:dyDescent="0.25">
      <c r="A74" s="10">
        <v>2022</v>
      </c>
      <c r="B74" s="10" t="s">
        <v>29</v>
      </c>
      <c r="C74" s="10">
        <v>727217.19021071692</v>
      </c>
      <c r="D74">
        <v>697625.28466635814</v>
      </c>
    </row>
    <row r="75" spans="1:6" x14ac:dyDescent="0.25">
      <c r="A75" s="10">
        <v>2022</v>
      </c>
      <c r="B75" s="10" t="s">
        <v>30</v>
      </c>
      <c r="C75" s="10">
        <v>741248.85874275723</v>
      </c>
      <c r="D75">
        <v>782338.62853373506</v>
      </c>
    </row>
    <row r="76" spans="1:6" x14ac:dyDescent="0.25">
      <c r="A76" s="10">
        <v>2022</v>
      </c>
      <c r="B76" s="10" t="s">
        <v>31</v>
      </c>
      <c r="C76" s="10">
        <v>735357.63471055031</v>
      </c>
      <c r="D76" s="10">
        <v>732662.16387550125</v>
      </c>
    </row>
    <row r="77" spans="1:6" x14ac:dyDescent="0.25">
      <c r="A77" s="10">
        <v>2022</v>
      </c>
      <c r="B77" s="10" t="s">
        <v>32</v>
      </c>
      <c r="C77" s="10">
        <v>721542.85124030802</v>
      </c>
      <c r="D77" s="10">
        <v>712740.45782873826</v>
      </c>
    </row>
    <row r="78" spans="1:6" x14ac:dyDescent="0.25">
      <c r="A78" s="10">
        <v>2023</v>
      </c>
      <c r="B78" s="10" t="s">
        <v>29</v>
      </c>
      <c r="C78" s="10">
        <v>728411.03637298418</v>
      </c>
      <c r="D78" s="10">
        <v>703987.50432157726</v>
      </c>
      <c r="E78" s="39"/>
      <c r="F78" s="39"/>
    </row>
    <row r="79" spans="1:6" x14ac:dyDescent="0.25">
      <c r="A79" s="10">
        <v>2023</v>
      </c>
      <c r="B79" s="10" t="s">
        <v>30</v>
      </c>
      <c r="C79" s="10">
        <v>710604.35007449426</v>
      </c>
      <c r="D79" s="10">
        <v>737941.90937407222</v>
      </c>
      <c r="E79" s="40"/>
      <c r="F79" s="40"/>
    </row>
    <row r="80" spans="1:6" x14ac:dyDescent="0.25">
      <c r="A80" s="10">
        <v>2023</v>
      </c>
      <c r="B80" s="10" t="s">
        <v>31</v>
      </c>
      <c r="C80" s="10">
        <v>724360.15045882703</v>
      </c>
      <c r="D80" s="10">
        <v>728638.58456868224</v>
      </c>
      <c r="E80" s="40"/>
    </row>
    <row r="81" spans="1:4" x14ac:dyDescent="0.25">
      <c r="A81" s="10">
        <v>2023</v>
      </c>
      <c r="B81" s="10" t="s">
        <v>32</v>
      </c>
      <c r="C81" s="10">
        <v>707702.39593034761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696359.28899467527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690619.26110419934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715761.56016933941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729781.23766831763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737836.57234611677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737449.93857344822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739523.51945228642</v>
      </c>
      <c r="D88" s="10">
        <v>737868.04979272792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3" t="s">
        <v>34</v>
      </c>
      <c r="C1" s="43"/>
      <c r="D1" s="43" t="s">
        <v>35</v>
      </c>
      <c r="E1" s="43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39</v>
      </c>
      <c r="B4">
        <v>11.3</v>
      </c>
      <c r="C4">
        <v>15.1</v>
      </c>
      <c r="D4">
        <v>3.3</v>
      </c>
      <c r="E4">
        <v>3.5</v>
      </c>
    </row>
    <row r="5" spans="1:5" x14ac:dyDescent="0.25">
      <c r="A5" t="s">
        <v>40</v>
      </c>
      <c r="B5">
        <v>28.8</v>
      </c>
      <c r="C5">
        <v>35.299999999999997</v>
      </c>
      <c r="D5">
        <v>7.3</v>
      </c>
      <c r="E5">
        <v>8.8000000000000007</v>
      </c>
    </row>
    <row r="6" spans="1:5" x14ac:dyDescent="0.25">
      <c r="A6" t="s">
        <v>41</v>
      </c>
      <c r="B6">
        <v>25.3</v>
      </c>
      <c r="C6">
        <v>33.5</v>
      </c>
      <c r="D6">
        <v>3.9</v>
      </c>
      <c r="E6">
        <v>4.7</v>
      </c>
    </row>
    <row r="7" spans="1:5" x14ac:dyDescent="0.25">
      <c r="A7" t="s">
        <v>42</v>
      </c>
      <c r="B7">
        <v>26.3</v>
      </c>
      <c r="C7">
        <v>36</v>
      </c>
      <c r="D7">
        <v>4.7</v>
      </c>
      <c r="E7">
        <v>5.2</v>
      </c>
    </row>
    <row r="8" spans="1:5" x14ac:dyDescent="0.25">
      <c r="A8" t="s">
        <v>43</v>
      </c>
      <c r="B8">
        <v>23.1</v>
      </c>
      <c r="C8">
        <v>30.3</v>
      </c>
      <c r="D8">
        <v>2.4</v>
      </c>
      <c r="E8">
        <v>2.5</v>
      </c>
    </row>
    <row r="9" spans="1:5" x14ac:dyDescent="0.25">
      <c r="A9" t="s">
        <v>44</v>
      </c>
      <c r="B9">
        <v>25.4</v>
      </c>
      <c r="C9">
        <v>37.4</v>
      </c>
      <c r="D9">
        <v>4.8</v>
      </c>
      <c r="E9">
        <v>6.5</v>
      </c>
    </row>
    <row r="10" spans="1:5" x14ac:dyDescent="0.25">
      <c r="A10" t="s">
        <v>45</v>
      </c>
      <c r="B10">
        <v>24</v>
      </c>
      <c r="C10">
        <v>28.3</v>
      </c>
      <c r="D10">
        <v>2.5</v>
      </c>
      <c r="E10">
        <v>2.7</v>
      </c>
    </row>
    <row r="11" spans="1:5" x14ac:dyDescent="0.25">
      <c r="A11" t="s">
        <v>46</v>
      </c>
      <c r="B11">
        <v>39.1</v>
      </c>
      <c r="C11">
        <v>48.1</v>
      </c>
      <c r="D11">
        <v>12.6</v>
      </c>
      <c r="E11">
        <v>15.5</v>
      </c>
    </row>
    <row r="12" spans="1:5" x14ac:dyDescent="0.25">
      <c r="A12" t="s">
        <v>47</v>
      </c>
      <c r="B12">
        <v>29.8</v>
      </c>
      <c r="C12">
        <v>38.1</v>
      </c>
      <c r="D12">
        <v>6.8</v>
      </c>
      <c r="E12">
        <v>6.8</v>
      </c>
    </row>
    <row r="13" spans="1:5" x14ac:dyDescent="0.25">
      <c r="A13" t="s">
        <v>48</v>
      </c>
      <c r="B13">
        <v>26.2</v>
      </c>
      <c r="C13" s="28">
        <v>34</v>
      </c>
      <c r="D13">
        <v>5.8</v>
      </c>
      <c r="E13">
        <v>7.3</v>
      </c>
    </row>
    <row r="14" spans="1:5" x14ac:dyDescent="0.25">
      <c r="A14" t="s">
        <v>49</v>
      </c>
      <c r="B14">
        <v>24.3</v>
      </c>
      <c r="C14">
        <v>30.8</v>
      </c>
      <c r="D14">
        <v>3.7</v>
      </c>
      <c r="E14">
        <v>4.0999999999999996</v>
      </c>
    </row>
    <row r="15" spans="1:5" x14ac:dyDescent="0.25">
      <c r="A15" t="s">
        <v>50</v>
      </c>
      <c r="B15">
        <v>24.7</v>
      </c>
      <c r="C15">
        <v>31.2</v>
      </c>
      <c r="D15">
        <v>4.4000000000000004</v>
      </c>
      <c r="E15">
        <v>4.5999999999999996</v>
      </c>
    </row>
    <row r="16" spans="1:5" x14ac:dyDescent="0.25">
      <c r="A16" t="s">
        <v>51</v>
      </c>
      <c r="B16">
        <v>22.2</v>
      </c>
      <c r="C16">
        <v>32.4</v>
      </c>
      <c r="D16">
        <v>2</v>
      </c>
      <c r="E16">
        <v>2.9</v>
      </c>
    </row>
    <row r="17" spans="1:5" x14ac:dyDescent="0.25">
      <c r="A17" t="s">
        <v>52</v>
      </c>
      <c r="B17">
        <v>23</v>
      </c>
      <c r="C17">
        <v>29.5</v>
      </c>
      <c r="D17">
        <v>3.7</v>
      </c>
      <c r="E17">
        <v>4.0999999999999996</v>
      </c>
    </row>
    <row r="18" spans="1:5" x14ac:dyDescent="0.25">
      <c r="A18" t="s">
        <v>53</v>
      </c>
      <c r="B18">
        <v>23.9</v>
      </c>
      <c r="C18">
        <v>32.5</v>
      </c>
      <c r="D18">
        <v>3</v>
      </c>
      <c r="E18">
        <v>4.7</v>
      </c>
    </row>
    <row r="19" spans="1:5" x14ac:dyDescent="0.25">
      <c r="A19" t="s">
        <v>54</v>
      </c>
      <c r="B19">
        <v>17.100000000000001</v>
      </c>
      <c r="C19">
        <v>23.5</v>
      </c>
      <c r="D19">
        <v>5.9</v>
      </c>
      <c r="E19">
        <v>7.4</v>
      </c>
    </row>
    <row r="20" spans="1:5" x14ac:dyDescent="0.25">
      <c r="A20" t="s">
        <v>55</v>
      </c>
      <c r="B20">
        <v>38.5</v>
      </c>
      <c r="C20">
        <v>49.2</v>
      </c>
      <c r="D20">
        <v>9.5</v>
      </c>
      <c r="E20">
        <v>12.3</v>
      </c>
    </row>
    <row r="21" spans="1:5" x14ac:dyDescent="0.25">
      <c r="A21" t="s">
        <v>56</v>
      </c>
      <c r="B21">
        <v>20.6</v>
      </c>
      <c r="C21">
        <v>29.5</v>
      </c>
      <c r="D21">
        <v>3.7</v>
      </c>
      <c r="E21">
        <v>4.7</v>
      </c>
    </row>
    <row r="22" spans="1:5" x14ac:dyDescent="0.25">
      <c r="A22" t="s">
        <v>57</v>
      </c>
      <c r="B22">
        <v>25.1</v>
      </c>
      <c r="C22">
        <v>35.200000000000003</v>
      </c>
      <c r="D22">
        <v>4.7</v>
      </c>
      <c r="E22">
        <v>8</v>
      </c>
    </row>
    <row r="23" spans="1:5" x14ac:dyDescent="0.25">
      <c r="A23" t="s">
        <v>58</v>
      </c>
      <c r="B23">
        <v>21.7</v>
      </c>
      <c r="C23">
        <v>28.1</v>
      </c>
      <c r="D23">
        <v>6</v>
      </c>
      <c r="E23">
        <v>6.2</v>
      </c>
    </row>
    <row r="24" spans="1:5" x14ac:dyDescent="0.25">
      <c r="A24" t="s">
        <v>59</v>
      </c>
      <c r="B24">
        <v>21.6</v>
      </c>
      <c r="C24">
        <v>29.9</v>
      </c>
      <c r="D24">
        <v>4.4000000000000004</v>
      </c>
      <c r="E24">
        <v>6.1</v>
      </c>
    </row>
    <row r="25" spans="1:5" x14ac:dyDescent="0.25">
      <c r="A25" t="s">
        <v>60</v>
      </c>
      <c r="B25">
        <v>26.5</v>
      </c>
      <c r="C25">
        <v>35.799999999999997</v>
      </c>
      <c r="D25">
        <v>4.5999999999999996</v>
      </c>
      <c r="E25">
        <v>6.3</v>
      </c>
    </row>
    <row r="26" spans="1:5" x14ac:dyDescent="0.25">
      <c r="A26" t="s">
        <v>61</v>
      </c>
      <c r="B26">
        <v>18.399999999999999</v>
      </c>
      <c r="C26">
        <v>27.5</v>
      </c>
      <c r="D26">
        <v>4.3</v>
      </c>
      <c r="E26">
        <v>6.4</v>
      </c>
    </row>
    <row r="27" spans="1:5" x14ac:dyDescent="0.25">
      <c r="A27" t="s">
        <v>62</v>
      </c>
      <c r="B27">
        <v>18.3</v>
      </c>
      <c r="C27">
        <v>24.4</v>
      </c>
      <c r="D27">
        <v>2.7</v>
      </c>
      <c r="E27">
        <v>3.6</v>
      </c>
    </row>
    <row r="28" spans="1:5" x14ac:dyDescent="0.25">
      <c r="A28" t="s">
        <v>63</v>
      </c>
      <c r="B28">
        <v>18.899999999999999</v>
      </c>
      <c r="C28">
        <v>25.6</v>
      </c>
      <c r="D28">
        <v>6.7</v>
      </c>
      <c r="E28">
        <v>9.6999999999999993</v>
      </c>
    </row>
    <row r="29" spans="1:5" x14ac:dyDescent="0.25">
      <c r="A29" t="s">
        <v>64</v>
      </c>
      <c r="B29">
        <v>24.1</v>
      </c>
      <c r="C29">
        <v>34.5</v>
      </c>
      <c r="D29">
        <v>6.3</v>
      </c>
      <c r="E29">
        <v>8.6999999999999993</v>
      </c>
    </row>
    <row r="30" spans="1:5" x14ac:dyDescent="0.25">
      <c r="A30" t="s">
        <v>65</v>
      </c>
      <c r="B30">
        <v>20.3</v>
      </c>
      <c r="C30">
        <v>26.9</v>
      </c>
      <c r="D30">
        <v>3.5</v>
      </c>
      <c r="E30">
        <v>3.6</v>
      </c>
    </row>
    <row r="31" spans="1:5" x14ac:dyDescent="0.25">
      <c r="A31" t="s">
        <v>66</v>
      </c>
      <c r="B31">
        <v>21</v>
      </c>
      <c r="C31">
        <v>26</v>
      </c>
      <c r="D31">
        <v>4.0999999999999996</v>
      </c>
      <c r="E31">
        <v>4.5999999999999996</v>
      </c>
    </row>
    <row r="32" spans="1:5" x14ac:dyDescent="0.25">
      <c r="A32" t="s">
        <v>67</v>
      </c>
      <c r="B32">
        <v>23.7</v>
      </c>
      <c r="C32">
        <v>32.299999999999997</v>
      </c>
      <c r="D32">
        <v>2.8</v>
      </c>
      <c r="E32">
        <v>3.4</v>
      </c>
    </row>
    <row r="33" spans="1:5" x14ac:dyDescent="0.25">
      <c r="A33" t="s">
        <v>68</v>
      </c>
      <c r="B33">
        <v>16.3</v>
      </c>
      <c r="C33">
        <v>22.3</v>
      </c>
      <c r="D33">
        <v>2.5</v>
      </c>
      <c r="E33">
        <v>3.4</v>
      </c>
    </row>
    <row r="34" spans="1:5" x14ac:dyDescent="0.25">
      <c r="A34" t="s">
        <v>69</v>
      </c>
      <c r="B34">
        <v>21.8</v>
      </c>
      <c r="C34">
        <v>30.1</v>
      </c>
      <c r="D34">
        <v>3</v>
      </c>
      <c r="E34">
        <v>3.5</v>
      </c>
    </row>
    <row r="35" spans="1:5" x14ac:dyDescent="0.25">
      <c r="A35" t="s">
        <v>70</v>
      </c>
      <c r="B35">
        <v>18.3</v>
      </c>
      <c r="C35">
        <v>26.7</v>
      </c>
      <c r="D35">
        <v>1.8</v>
      </c>
      <c r="E35">
        <v>3.3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9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3" t="s">
        <v>34</v>
      </c>
      <c r="C1" s="43"/>
      <c r="D1" s="43" t="s">
        <v>35</v>
      </c>
      <c r="E1" s="43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71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10</v>
      </c>
      <c r="B4">
        <v>24.7</v>
      </c>
      <c r="C4">
        <v>31.5</v>
      </c>
      <c r="D4">
        <v>6.4</v>
      </c>
      <c r="E4">
        <v>7.8</v>
      </c>
    </row>
    <row r="5" spans="1:5" x14ac:dyDescent="0.25">
      <c r="A5" t="s">
        <v>72</v>
      </c>
      <c r="B5">
        <v>25.3</v>
      </c>
      <c r="C5">
        <v>33.799999999999997</v>
      </c>
      <c r="D5">
        <v>3.9</v>
      </c>
      <c r="E5">
        <v>4.5</v>
      </c>
    </row>
    <row r="6" spans="1:5" x14ac:dyDescent="0.25">
      <c r="A6" t="s">
        <v>8</v>
      </c>
      <c r="B6">
        <v>30.2</v>
      </c>
      <c r="C6">
        <v>39</v>
      </c>
      <c r="D6">
        <v>7.2</v>
      </c>
      <c r="E6">
        <v>8.5</v>
      </c>
    </row>
    <row r="7" spans="1:5" x14ac:dyDescent="0.25">
      <c r="A7" t="s">
        <v>9</v>
      </c>
      <c r="B7">
        <v>24</v>
      </c>
      <c r="C7">
        <v>31.2</v>
      </c>
      <c r="D7">
        <v>3.7</v>
      </c>
      <c r="E7">
        <v>4.4000000000000004</v>
      </c>
    </row>
    <row r="8" spans="1:5" x14ac:dyDescent="0.25">
      <c r="A8" t="s">
        <v>73</v>
      </c>
      <c r="B8">
        <v>22</v>
      </c>
      <c r="C8">
        <v>30.5</v>
      </c>
      <c r="D8">
        <v>4.9000000000000004</v>
      </c>
      <c r="E8">
        <v>6.4</v>
      </c>
    </row>
    <row r="9" spans="1:5" x14ac:dyDescent="0.25">
      <c r="A9" t="s">
        <v>74</v>
      </c>
      <c r="B9">
        <v>20.3</v>
      </c>
      <c r="C9">
        <v>27</v>
      </c>
      <c r="D9">
        <v>3.2</v>
      </c>
      <c r="E9">
        <v>3.8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/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75</v>
      </c>
      <c r="B1" t="s">
        <v>76</v>
      </c>
      <c r="C1" t="s">
        <v>77</v>
      </c>
      <c r="D1" t="s">
        <v>78</v>
      </c>
    </row>
    <row r="2" spans="1:4" x14ac:dyDescent="0.25">
      <c r="A2" s="31" t="s">
        <v>79</v>
      </c>
      <c r="B2" s="48">
        <v>15162.02001063</v>
      </c>
      <c r="C2" s="48">
        <v>20723.731483160002</v>
      </c>
      <c r="D2" s="27">
        <f>B2-C2</f>
        <v>-5561.7114725300016</v>
      </c>
    </row>
    <row r="3" spans="1:4" x14ac:dyDescent="0.25">
      <c r="A3" s="32" t="s">
        <v>212</v>
      </c>
      <c r="B3" s="46">
        <v>11757.258956490001</v>
      </c>
      <c r="C3" s="46">
        <v>17286.005816950001</v>
      </c>
      <c r="D3" s="27">
        <f t="shared" ref="D3:D27" si="0">B3-C3</f>
        <v>-5528.7468604599999</v>
      </c>
    </row>
    <row r="4" spans="1:4" x14ac:dyDescent="0.25">
      <c r="A4" s="32" t="s">
        <v>217</v>
      </c>
      <c r="B4" s="46">
        <v>1235.1315129</v>
      </c>
      <c r="C4" s="46">
        <v>2856.6986272700001</v>
      </c>
      <c r="D4" s="27">
        <f t="shared" si="0"/>
        <v>-1621.5671143700001</v>
      </c>
    </row>
    <row r="5" spans="1:4" x14ac:dyDescent="0.25">
      <c r="A5" s="32" t="s">
        <v>218</v>
      </c>
      <c r="B5" s="46">
        <v>1779.0926463200001</v>
      </c>
      <c r="C5" s="46">
        <v>566.73412613999994</v>
      </c>
      <c r="D5" s="27">
        <f t="shared" si="0"/>
        <v>1212.3585201800001</v>
      </c>
    </row>
    <row r="6" spans="1:4" x14ac:dyDescent="0.25">
      <c r="A6" s="31" t="s">
        <v>81</v>
      </c>
      <c r="B6" s="48">
        <v>10298.13130108</v>
      </c>
      <c r="C6" s="48">
        <v>1959.73813608</v>
      </c>
      <c r="D6" s="27">
        <f t="shared" si="0"/>
        <v>8338.3931650000013</v>
      </c>
    </row>
    <row r="7" spans="1:4" x14ac:dyDescent="0.25">
      <c r="A7" s="32" t="s">
        <v>80</v>
      </c>
      <c r="B7" s="46">
        <v>5806.6182871600004</v>
      </c>
      <c r="C7" s="46">
        <v>790.62834270999997</v>
      </c>
      <c r="D7" s="27">
        <f t="shared" si="0"/>
        <v>5015.9899444500006</v>
      </c>
    </row>
    <row r="8" spans="1:4" x14ac:dyDescent="0.25">
      <c r="A8" s="32" t="s">
        <v>213</v>
      </c>
      <c r="B8" s="46">
        <v>2335.3323222899999</v>
      </c>
      <c r="C8" s="46">
        <v>320.65355961</v>
      </c>
      <c r="D8" s="27">
        <f t="shared" si="0"/>
        <v>2014.6787626799999</v>
      </c>
    </row>
    <row r="9" spans="1:4" x14ac:dyDescent="0.25">
      <c r="A9" s="31" t="s">
        <v>184</v>
      </c>
      <c r="B9" s="48">
        <v>9199.7115004400002</v>
      </c>
      <c r="C9" s="48">
        <v>8238.7894800499998</v>
      </c>
      <c r="D9" s="27">
        <f t="shared" si="0"/>
        <v>960.9220203900004</v>
      </c>
    </row>
    <row r="10" spans="1:4" x14ac:dyDescent="0.25">
      <c r="A10" s="32" t="s">
        <v>214</v>
      </c>
      <c r="B10" s="46">
        <v>7398.1713261499999</v>
      </c>
      <c r="C10" s="46">
        <v>6234.7960195100004</v>
      </c>
      <c r="D10" s="27">
        <f t="shared" si="0"/>
        <v>1163.3753066399995</v>
      </c>
    </row>
    <row r="11" spans="1:4" x14ac:dyDescent="0.25">
      <c r="A11" s="31" t="s">
        <v>185</v>
      </c>
      <c r="B11" s="48">
        <v>7920.5727785899999</v>
      </c>
      <c r="C11" s="48">
        <v>9624.03035275</v>
      </c>
      <c r="D11" s="27">
        <f t="shared" si="0"/>
        <v>-1703.4575741600001</v>
      </c>
    </row>
    <row r="12" spans="1:4" x14ac:dyDescent="0.25">
      <c r="A12" s="32" t="s">
        <v>221</v>
      </c>
      <c r="B12" s="46">
        <v>1006.8251537800001</v>
      </c>
      <c r="C12" s="46">
        <v>2902.2381364500002</v>
      </c>
      <c r="D12" s="27">
        <f t="shared" si="0"/>
        <v>-1895.41298267</v>
      </c>
    </row>
    <row r="13" spans="1:4" x14ac:dyDescent="0.25">
      <c r="A13" s="32" t="s">
        <v>222</v>
      </c>
      <c r="B13" s="46">
        <v>1139.5894693</v>
      </c>
      <c r="C13" s="46">
        <v>1052.4435828600001</v>
      </c>
      <c r="D13" s="27">
        <f t="shared" si="0"/>
        <v>87.145886439999913</v>
      </c>
    </row>
    <row r="14" spans="1:4" x14ac:dyDescent="0.25">
      <c r="A14" s="32" t="s">
        <v>223</v>
      </c>
      <c r="B14" s="46">
        <v>1030.27736473</v>
      </c>
      <c r="C14" s="46">
        <v>1418.1168983499999</v>
      </c>
      <c r="D14" s="27">
        <f t="shared" si="0"/>
        <v>-387.83953361999988</v>
      </c>
    </row>
    <row r="15" spans="1:4" x14ac:dyDescent="0.25">
      <c r="A15" s="32" t="s">
        <v>224</v>
      </c>
      <c r="B15" s="46">
        <v>1917.2672615399999</v>
      </c>
      <c r="C15" s="46">
        <v>426.59847143000002</v>
      </c>
      <c r="D15" s="27">
        <f t="shared" si="0"/>
        <v>1490.6687901099999</v>
      </c>
    </row>
    <row r="16" spans="1:4" x14ac:dyDescent="0.25">
      <c r="A16" s="31" t="s">
        <v>83</v>
      </c>
      <c r="B16" s="48">
        <v>9018.4857807799999</v>
      </c>
      <c r="C16" s="48">
        <v>16431.861411360002</v>
      </c>
      <c r="D16" s="27">
        <f t="shared" si="0"/>
        <v>-7413.3756305800016</v>
      </c>
    </row>
    <row r="17" spans="1:4" x14ac:dyDescent="0.25">
      <c r="A17" s="31" t="s">
        <v>84</v>
      </c>
      <c r="B17" s="48">
        <v>5017.6198437900002</v>
      </c>
      <c r="C17" s="48">
        <v>1328.90195341</v>
      </c>
      <c r="D17" s="27">
        <f t="shared" si="0"/>
        <v>3688.7178903800004</v>
      </c>
    </row>
    <row r="18" spans="1:4" x14ac:dyDescent="0.25">
      <c r="A18" s="31" t="s">
        <v>82</v>
      </c>
      <c r="B18" s="48">
        <v>5232.5355039200003</v>
      </c>
      <c r="C18" s="48">
        <v>4202.03709781</v>
      </c>
      <c r="D18" s="27">
        <f t="shared" si="0"/>
        <v>1030.4984061100004</v>
      </c>
    </row>
    <row r="19" spans="1:4" x14ac:dyDescent="0.25">
      <c r="A19" s="32" t="s">
        <v>216</v>
      </c>
      <c r="B19" s="46">
        <v>1016.1788423</v>
      </c>
      <c r="C19" s="46">
        <v>448.07535587000001</v>
      </c>
      <c r="D19" s="27">
        <f t="shared" si="0"/>
        <v>568.10348642999998</v>
      </c>
    </row>
    <row r="20" spans="1:4" x14ac:dyDescent="0.25">
      <c r="A20" s="32" t="s">
        <v>219</v>
      </c>
      <c r="B20" s="46">
        <v>1122.7563554799999</v>
      </c>
      <c r="C20" s="46">
        <v>254.43728949999999</v>
      </c>
      <c r="D20" s="27">
        <f t="shared" si="0"/>
        <v>868.31906597999989</v>
      </c>
    </row>
    <row r="21" spans="1:4" x14ac:dyDescent="0.25">
      <c r="A21" s="32" t="s">
        <v>220</v>
      </c>
      <c r="B21" s="46">
        <v>284.16114851999998</v>
      </c>
      <c r="C21" s="46">
        <v>1945.1009761800001</v>
      </c>
      <c r="D21" s="27">
        <f t="shared" si="0"/>
        <v>-1660.93982766</v>
      </c>
    </row>
    <row r="22" spans="1:4" x14ac:dyDescent="0.25">
      <c r="A22" s="32" t="s">
        <v>215</v>
      </c>
      <c r="B22" s="46">
        <v>2517.36409546</v>
      </c>
      <c r="C22" s="46">
        <v>1259.3225156399999</v>
      </c>
      <c r="D22" s="27">
        <f t="shared" si="0"/>
        <v>1258.0415798200002</v>
      </c>
    </row>
    <row r="23" spans="1:4" x14ac:dyDescent="0.25">
      <c r="A23" s="31" t="s">
        <v>85</v>
      </c>
      <c r="B23" s="48">
        <v>4259.8473498800004</v>
      </c>
      <c r="C23" s="48">
        <v>627.65168314000005</v>
      </c>
      <c r="D23" s="27">
        <f t="shared" si="0"/>
        <v>3632.1956667400004</v>
      </c>
    </row>
    <row r="24" spans="1:4" x14ac:dyDescent="0.25">
      <c r="A24" s="31" t="s">
        <v>86</v>
      </c>
      <c r="B24" s="48">
        <v>2356.8647228599998</v>
      </c>
      <c r="C24" s="48">
        <v>588.49726207000003</v>
      </c>
      <c r="D24" s="27">
        <f t="shared" si="0"/>
        <v>1768.3674607899998</v>
      </c>
    </row>
    <row r="25" spans="1:4" x14ac:dyDescent="0.25">
      <c r="A25" s="24" t="s">
        <v>87</v>
      </c>
      <c r="B25" s="48">
        <v>347.67515273999999</v>
      </c>
      <c r="C25" s="48">
        <v>125.35007161999999</v>
      </c>
      <c r="D25" s="27">
        <f t="shared" si="0"/>
        <v>222.32508111999999</v>
      </c>
    </row>
    <row r="26" spans="1:4" x14ac:dyDescent="0.25">
      <c r="A26" s="24" t="s">
        <v>88</v>
      </c>
      <c r="B26" s="48">
        <v>582.60878018999995</v>
      </c>
      <c r="C26" s="48">
        <v>369.00686317999998</v>
      </c>
      <c r="D26" s="27">
        <f t="shared" si="0"/>
        <v>213.60191700999997</v>
      </c>
    </row>
    <row r="27" spans="1:4" x14ac:dyDescent="0.25">
      <c r="A27" s="26" t="s">
        <v>89</v>
      </c>
      <c r="B27" s="49">
        <v>10196.25194199</v>
      </c>
      <c r="C27" s="49">
        <v>6015.6185132500004</v>
      </c>
      <c r="D27" s="27">
        <f t="shared" si="0"/>
        <v>4180.6334287399995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183</v>
      </c>
      <c r="B1" s="10" t="s">
        <v>91</v>
      </c>
    </row>
    <row r="2" spans="1:4" x14ac:dyDescent="0.25">
      <c r="A2" s="25" t="s">
        <v>181</v>
      </c>
      <c r="B2" s="44">
        <v>79592.324666889996</v>
      </c>
      <c r="D2" s="29"/>
    </row>
    <row r="3" spans="1:4" x14ac:dyDescent="0.25">
      <c r="A3" s="24" t="s">
        <v>177</v>
      </c>
      <c r="B3" s="44">
        <v>20252.772391890001</v>
      </c>
      <c r="D3" s="29"/>
    </row>
    <row r="4" spans="1:4" x14ac:dyDescent="0.25">
      <c r="A4" s="22" t="s">
        <v>130</v>
      </c>
      <c r="B4" s="45">
        <v>23.23107929</v>
      </c>
      <c r="D4" s="30"/>
    </row>
    <row r="5" spans="1:4" x14ac:dyDescent="0.25">
      <c r="A5" s="22" t="s">
        <v>131</v>
      </c>
      <c r="B5" s="45">
        <v>1669.0991065799999</v>
      </c>
      <c r="D5" s="30"/>
    </row>
    <row r="6" spans="1:4" x14ac:dyDescent="0.25">
      <c r="A6" s="22" t="s">
        <v>132</v>
      </c>
      <c r="B6" s="45">
        <v>199.19320243999999</v>
      </c>
      <c r="D6" s="30"/>
    </row>
    <row r="7" spans="1:4" x14ac:dyDescent="0.25">
      <c r="A7" s="22" t="s">
        <v>133</v>
      </c>
      <c r="B7" s="45">
        <v>573.37312237000003</v>
      </c>
      <c r="D7" s="30"/>
    </row>
    <row r="8" spans="1:4" x14ac:dyDescent="0.25">
      <c r="A8" s="22" t="s">
        <v>134</v>
      </c>
      <c r="B8" s="45">
        <v>616.59019979000004</v>
      </c>
      <c r="D8" s="30"/>
    </row>
    <row r="9" spans="1:4" x14ac:dyDescent="0.25">
      <c r="A9" s="22" t="s">
        <v>135</v>
      </c>
      <c r="B9" s="45">
        <v>10202.663776519999</v>
      </c>
      <c r="D9" s="30"/>
    </row>
    <row r="10" spans="1:4" x14ac:dyDescent="0.25">
      <c r="A10" s="22" t="s">
        <v>136</v>
      </c>
      <c r="B10" s="45">
        <v>5709.2488860599997</v>
      </c>
      <c r="D10" s="30"/>
    </row>
    <row r="11" spans="1:4" x14ac:dyDescent="0.25">
      <c r="A11" s="22" t="s">
        <v>137</v>
      </c>
      <c r="B11" s="45">
        <v>317.58109034</v>
      </c>
      <c r="D11" s="30"/>
    </row>
    <row r="12" spans="1:4" x14ac:dyDescent="0.25">
      <c r="A12" s="22" t="s">
        <v>138</v>
      </c>
      <c r="B12" s="45">
        <v>38.820898509999999</v>
      </c>
      <c r="D12" s="30"/>
    </row>
    <row r="13" spans="1:4" x14ac:dyDescent="0.25">
      <c r="A13" s="22" t="s">
        <v>139</v>
      </c>
      <c r="B13" s="45">
        <v>89.091613280000004</v>
      </c>
      <c r="D13" s="30"/>
    </row>
    <row r="14" spans="1:4" x14ac:dyDescent="0.25">
      <c r="A14" s="22" t="s">
        <v>140</v>
      </c>
      <c r="B14" s="45">
        <v>636.91113265000001</v>
      </c>
      <c r="D14" s="30"/>
    </row>
    <row r="15" spans="1:4" x14ac:dyDescent="0.25">
      <c r="A15" s="22" t="s">
        <v>141</v>
      </c>
      <c r="B15" s="45">
        <v>176.96828406</v>
      </c>
      <c r="D15" s="30"/>
    </row>
    <row r="16" spans="1:4" x14ac:dyDescent="0.25">
      <c r="A16" s="24" t="s">
        <v>178</v>
      </c>
      <c r="B16" s="44">
        <v>28040.29213306</v>
      </c>
      <c r="D16" s="29"/>
    </row>
    <row r="17" spans="1:4" x14ac:dyDescent="0.25">
      <c r="A17" s="22" t="s">
        <v>142</v>
      </c>
      <c r="B17" s="45">
        <v>4045.8755524200001</v>
      </c>
      <c r="D17" s="30"/>
    </row>
    <row r="18" spans="1:4" x14ac:dyDescent="0.25">
      <c r="A18" s="22" t="s">
        <v>143</v>
      </c>
      <c r="B18" s="45">
        <v>267.49853894</v>
      </c>
      <c r="D18" s="30"/>
    </row>
    <row r="19" spans="1:4" x14ac:dyDescent="0.25">
      <c r="A19" s="22" t="s">
        <v>144</v>
      </c>
      <c r="B19" s="45">
        <v>1322.8218752299999</v>
      </c>
      <c r="D19" s="30"/>
    </row>
    <row r="20" spans="1:4" x14ac:dyDescent="0.25">
      <c r="A20" s="22" t="s">
        <v>145</v>
      </c>
      <c r="B20" s="45">
        <v>81.267182869999999</v>
      </c>
      <c r="D20" s="30"/>
    </row>
    <row r="21" spans="1:4" x14ac:dyDescent="0.25">
      <c r="A21" s="22" t="s">
        <v>146</v>
      </c>
      <c r="B21" s="45">
        <v>162.24291939</v>
      </c>
      <c r="D21" s="30"/>
    </row>
    <row r="22" spans="1:4" x14ac:dyDescent="0.25">
      <c r="A22" s="22" t="s">
        <v>147</v>
      </c>
      <c r="B22" s="45">
        <v>171.58048911</v>
      </c>
      <c r="D22" s="30"/>
    </row>
    <row r="23" spans="1:4" x14ac:dyDescent="0.25">
      <c r="A23" s="22" t="s">
        <v>148</v>
      </c>
      <c r="B23" s="45">
        <v>703.12673107000001</v>
      </c>
      <c r="D23" s="30"/>
    </row>
    <row r="24" spans="1:4" x14ac:dyDescent="0.25">
      <c r="A24" s="22" t="s">
        <v>149</v>
      </c>
      <c r="B24" s="45">
        <v>8895.9915332</v>
      </c>
      <c r="D24" s="30"/>
    </row>
    <row r="25" spans="1:4" x14ac:dyDescent="0.25">
      <c r="A25" s="22" t="s">
        <v>150</v>
      </c>
      <c r="B25" s="45">
        <v>486.74893478000001</v>
      </c>
      <c r="D25" s="30"/>
    </row>
    <row r="26" spans="1:4" x14ac:dyDescent="0.25">
      <c r="A26" s="22" t="s">
        <v>151</v>
      </c>
      <c r="B26" s="45">
        <v>1000.46130953</v>
      </c>
      <c r="D26" s="30"/>
    </row>
    <row r="27" spans="1:4" x14ac:dyDescent="0.25">
      <c r="A27" s="22" t="s">
        <v>152</v>
      </c>
      <c r="B27" s="45">
        <v>767.90849494999998</v>
      </c>
      <c r="D27" s="30"/>
    </row>
    <row r="28" spans="1:4" x14ac:dyDescent="0.25">
      <c r="A28" s="22" t="s">
        <v>153</v>
      </c>
      <c r="B28" s="45">
        <v>8842.1193369499997</v>
      </c>
      <c r="D28" s="30"/>
    </row>
    <row r="29" spans="1:4" x14ac:dyDescent="0.25">
      <c r="A29" s="22" t="s">
        <v>154</v>
      </c>
      <c r="B29" s="45">
        <v>248.38078087</v>
      </c>
      <c r="D29" s="30"/>
    </row>
    <row r="30" spans="1:4" x14ac:dyDescent="0.25">
      <c r="A30" s="22" t="s">
        <v>155</v>
      </c>
      <c r="B30" s="45">
        <v>348.36478217000001</v>
      </c>
      <c r="D30" s="30"/>
    </row>
    <row r="31" spans="1:4" x14ac:dyDescent="0.25">
      <c r="A31" s="22" t="s">
        <v>156</v>
      </c>
      <c r="B31" s="45">
        <v>92.8004502</v>
      </c>
      <c r="D31" s="30"/>
    </row>
    <row r="32" spans="1:4" x14ac:dyDescent="0.25">
      <c r="A32" s="22" t="s">
        <v>157</v>
      </c>
      <c r="B32" s="45">
        <v>603.10322138000004</v>
      </c>
      <c r="D32" s="30"/>
    </row>
    <row r="33" spans="1:4" x14ac:dyDescent="0.25">
      <c r="A33" s="24" t="s">
        <v>179</v>
      </c>
      <c r="B33" s="44">
        <v>21291.471339160002</v>
      </c>
      <c r="D33" s="29"/>
    </row>
    <row r="34" spans="1:4" x14ac:dyDescent="0.25">
      <c r="A34" s="22" t="s">
        <v>158</v>
      </c>
      <c r="B34" s="45">
        <v>4473.3247133499999</v>
      </c>
      <c r="D34" s="30"/>
    </row>
    <row r="35" spans="1:4" x14ac:dyDescent="0.25">
      <c r="A35" s="22" t="s">
        <v>159</v>
      </c>
      <c r="B35" s="45">
        <v>875.81096190000005</v>
      </c>
      <c r="D35" s="30"/>
    </row>
    <row r="36" spans="1:4" x14ac:dyDescent="0.25">
      <c r="A36" s="22" t="s">
        <v>160</v>
      </c>
      <c r="B36" s="45">
        <v>148.50952291999999</v>
      </c>
      <c r="D36" s="30"/>
    </row>
    <row r="37" spans="1:4" x14ac:dyDescent="0.25">
      <c r="A37" s="22" t="s">
        <v>161</v>
      </c>
      <c r="B37" s="45">
        <v>15.499851250000001</v>
      </c>
      <c r="D37" s="30"/>
    </row>
    <row r="38" spans="1:4" x14ac:dyDescent="0.25">
      <c r="A38" s="22" t="s">
        <v>162</v>
      </c>
      <c r="B38" s="45">
        <v>380.31725161000003</v>
      </c>
      <c r="D38" s="30"/>
    </row>
    <row r="39" spans="1:4" x14ac:dyDescent="0.25">
      <c r="A39" s="22" t="s">
        <v>163</v>
      </c>
      <c r="B39" s="45">
        <v>92.047358180000003</v>
      </c>
      <c r="D39" s="30"/>
    </row>
    <row r="40" spans="1:4" x14ac:dyDescent="0.25">
      <c r="A40" s="22" t="s">
        <v>164</v>
      </c>
      <c r="B40" s="45">
        <v>6.3205488599999997</v>
      </c>
      <c r="D40" s="30"/>
    </row>
    <row r="41" spans="1:4" x14ac:dyDescent="0.25">
      <c r="A41" s="22" t="s">
        <v>165</v>
      </c>
      <c r="B41" s="45">
        <v>118.93384365</v>
      </c>
      <c r="D41" s="30"/>
    </row>
    <row r="42" spans="1:4" x14ac:dyDescent="0.25">
      <c r="A42" s="22" t="s">
        <v>166</v>
      </c>
      <c r="B42" s="45">
        <v>3790.17743066</v>
      </c>
      <c r="D42" s="30"/>
    </row>
    <row r="43" spans="1:4" x14ac:dyDescent="0.25">
      <c r="A43" s="22" t="s">
        <v>167</v>
      </c>
      <c r="B43" s="45">
        <v>2120.00793608</v>
      </c>
      <c r="D43" s="30"/>
    </row>
    <row r="44" spans="1:4" x14ac:dyDescent="0.25">
      <c r="A44" s="22" t="s">
        <v>168</v>
      </c>
      <c r="B44" s="45">
        <v>1405.7364426300001</v>
      </c>
      <c r="D44" s="30"/>
    </row>
    <row r="45" spans="1:4" x14ac:dyDescent="0.25">
      <c r="A45" s="22" t="s">
        <v>169</v>
      </c>
      <c r="B45" s="45">
        <v>7491.2966208099997</v>
      </c>
      <c r="D45" s="30"/>
    </row>
    <row r="46" spans="1:4" x14ac:dyDescent="0.25">
      <c r="A46" s="22" t="s">
        <v>170</v>
      </c>
      <c r="B46" s="45">
        <v>51.284133580000002</v>
      </c>
      <c r="D46" s="30"/>
    </row>
    <row r="47" spans="1:4" x14ac:dyDescent="0.25">
      <c r="A47" s="22" t="s">
        <v>171</v>
      </c>
      <c r="B47" s="45">
        <v>322.20472367999997</v>
      </c>
      <c r="D47" s="30"/>
    </row>
    <row r="48" spans="1:4" x14ac:dyDescent="0.25">
      <c r="A48" s="24" t="s">
        <v>180</v>
      </c>
      <c r="B48" s="44">
        <v>10007.78880278</v>
      </c>
      <c r="D48" s="29"/>
    </row>
    <row r="49" spans="1:4" x14ac:dyDescent="0.25">
      <c r="A49" s="22" t="s">
        <v>172</v>
      </c>
      <c r="B49" s="45">
        <v>6060.0225905099996</v>
      </c>
      <c r="D49" s="30"/>
    </row>
    <row r="50" spans="1:4" x14ac:dyDescent="0.25">
      <c r="A50" s="22" t="s">
        <v>173</v>
      </c>
      <c r="B50" s="45">
        <v>2197.72191673</v>
      </c>
      <c r="D50" s="30"/>
    </row>
    <row r="51" spans="1:4" x14ac:dyDescent="0.25">
      <c r="A51" s="22" t="s">
        <v>174</v>
      </c>
      <c r="B51" s="45">
        <v>94.975354289999999</v>
      </c>
      <c r="D51" s="30"/>
    </row>
    <row r="52" spans="1:4" x14ac:dyDescent="0.25">
      <c r="A52" s="22" t="s">
        <v>175</v>
      </c>
      <c r="B52" s="46">
        <v>1304.3026945300001</v>
      </c>
      <c r="D52" s="30"/>
    </row>
    <row r="53" spans="1:4" x14ac:dyDescent="0.25">
      <c r="A53" s="23" t="s">
        <v>176</v>
      </c>
      <c r="B53" s="47">
        <v>350.76624672000003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30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183</v>
      </c>
      <c r="B1" s="10" t="s">
        <v>91</v>
      </c>
    </row>
    <row r="2" spans="1:2" x14ac:dyDescent="0.25">
      <c r="A2" s="33" t="s">
        <v>186</v>
      </c>
      <c r="B2" s="29">
        <v>70235.21430788</v>
      </c>
    </row>
    <row r="3" spans="1:2" x14ac:dyDescent="0.25">
      <c r="A3" s="33" t="s">
        <v>187</v>
      </c>
      <c r="B3" s="29">
        <v>13832.41032968</v>
      </c>
    </row>
    <row r="4" spans="1:2" x14ac:dyDescent="0.25">
      <c r="A4" s="34" t="s">
        <v>188</v>
      </c>
      <c r="B4" s="30">
        <v>9680.1358599399991</v>
      </c>
    </row>
    <row r="5" spans="1:2" x14ac:dyDescent="0.25">
      <c r="A5" s="34" t="s">
        <v>189</v>
      </c>
      <c r="B5" s="30">
        <v>1070.8270849200001</v>
      </c>
    </row>
    <row r="6" spans="1:2" x14ac:dyDescent="0.25">
      <c r="A6" s="34" t="s">
        <v>190</v>
      </c>
      <c r="B6" s="30">
        <v>3081.44738482</v>
      </c>
    </row>
    <row r="7" spans="1:2" x14ac:dyDescent="0.25">
      <c r="A7" s="33" t="s">
        <v>191</v>
      </c>
      <c r="B7" s="29">
        <v>22616.160901160001</v>
      </c>
    </row>
    <row r="8" spans="1:2" x14ac:dyDescent="0.25">
      <c r="A8" s="34" t="s">
        <v>192</v>
      </c>
      <c r="B8" s="30">
        <v>2471.84969606</v>
      </c>
    </row>
    <row r="9" spans="1:2" x14ac:dyDescent="0.25">
      <c r="A9" s="34" t="s">
        <v>193</v>
      </c>
      <c r="B9" s="30">
        <v>719.83439476000001</v>
      </c>
    </row>
    <row r="10" spans="1:2" x14ac:dyDescent="0.25">
      <c r="A10" s="34" t="s">
        <v>194</v>
      </c>
      <c r="B10" s="30">
        <v>800.71347603000004</v>
      </c>
    </row>
    <row r="11" spans="1:2" x14ac:dyDescent="0.25">
      <c r="A11" s="34" t="s">
        <v>195</v>
      </c>
      <c r="B11" s="30">
        <v>17122.400870360001</v>
      </c>
    </row>
    <row r="12" spans="1:2" x14ac:dyDescent="0.25">
      <c r="A12" s="34" t="s">
        <v>196</v>
      </c>
      <c r="B12" s="30">
        <v>1501.3624639499999</v>
      </c>
    </row>
    <row r="13" spans="1:2" x14ac:dyDescent="0.25">
      <c r="A13" s="33" t="s">
        <v>197</v>
      </c>
      <c r="B13" s="29">
        <v>3097.1223191099998</v>
      </c>
    </row>
    <row r="14" spans="1:2" x14ac:dyDescent="0.25">
      <c r="A14" s="34" t="s">
        <v>198</v>
      </c>
      <c r="B14" s="30">
        <v>175.43576142000001</v>
      </c>
    </row>
    <row r="15" spans="1:2" x14ac:dyDescent="0.25">
      <c r="A15" s="34" t="s">
        <v>199</v>
      </c>
      <c r="B15" s="30">
        <v>2921.68655769</v>
      </c>
    </row>
    <row r="16" spans="1:2" x14ac:dyDescent="0.25">
      <c r="A16" s="33" t="s">
        <v>200</v>
      </c>
      <c r="B16" s="29">
        <v>14168.12452282</v>
      </c>
    </row>
    <row r="17" spans="1:2" x14ac:dyDescent="0.25">
      <c r="A17" s="34" t="s">
        <v>201</v>
      </c>
      <c r="B17" s="30">
        <v>5033.9104527</v>
      </c>
    </row>
    <row r="18" spans="1:2" x14ac:dyDescent="0.25">
      <c r="A18" s="34" t="s">
        <v>202</v>
      </c>
      <c r="B18" s="30">
        <v>1308.60541203</v>
      </c>
    </row>
    <row r="19" spans="1:2" x14ac:dyDescent="0.25">
      <c r="A19" s="34" t="s">
        <v>203</v>
      </c>
      <c r="B19" s="30">
        <v>7825.6086580900001</v>
      </c>
    </row>
    <row r="20" spans="1:2" x14ac:dyDescent="0.25">
      <c r="A20" s="33" t="s">
        <v>204</v>
      </c>
      <c r="B20" s="29">
        <v>10485.858669249999</v>
      </c>
    </row>
    <row r="21" spans="1:2" x14ac:dyDescent="0.25">
      <c r="A21" s="34" t="s">
        <v>205</v>
      </c>
      <c r="B21" s="30">
        <v>774.52586336000002</v>
      </c>
    </row>
    <row r="22" spans="1:2" x14ac:dyDescent="0.25">
      <c r="A22" s="34" t="s">
        <v>206</v>
      </c>
      <c r="B22" s="30">
        <v>1316.77826949</v>
      </c>
    </row>
    <row r="23" spans="1:2" x14ac:dyDescent="0.25">
      <c r="A23" s="34" t="s">
        <v>207</v>
      </c>
      <c r="B23" s="30">
        <v>1.7308270000000001E-2</v>
      </c>
    </row>
    <row r="24" spans="1:2" x14ac:dyDescent="0.25">
      <c r="A24" s="34" t="s">
        <v>208</v>
      </c>
      <c r="B24" s="30">
        <v>897.35258166000006</v>
      </c>
    </row>
    <row r="25" spans="1:2" x14ac:dyDescent="0.25">
      <c r="A25" s="34" t="s">
        <v>209</v>
      </c>
      <c r="B25" s="30">
        <v>1467.78105106</v>
      </c>
    </row>
    <row r="26" spans="1:2" x14ac:dyDescent="0.25">
      <c r="A26" s="34" t="s">
        <v>210</v>
      </c>
      <c r="B26" s="30">
        <v>2881.8939376100002</v>
      </c>
    </row>
    <row r="27" spans="1:2" x14ac:dyDescent="0.25">
      <c r="A27" s="34" t="s">
        <v>196</v>
      </c>
      <c r="B27" s="30">
        <v>1884.8430734799999</v>
      </c>
    </row>
    <row r="28" spans="1:2" x14ac:dyDescent="0.25">
      <c r="A28" s="33" t="s">
        <v>211</v>
      </c>
      <c r="B28" s="29">
        <v>1262.6665843200001</v>
      </c>
    </row>
    <row r="29" spans="1:2" x14ac:dyDescent="0.25">
      <c r="A29" s="35" t="s">
        <v>182</v>
      </c>
      <c r="B29" s="38">
        <v>5189.6547608800001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tabSelected="1"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90</v>
      </c>
      <c r="B1" s="12" t="s">
        <v>91</v>
      </c>
      <c r="C1" s="12" t="s">
        <v>92</v>
      </c>
    </row>
    <row r="2" spans="1:3" x14ac:dyDescent="0.25">
      <c r="A2" t="s">
        <v>93</v>
      </c>
      <c r="B2">
        <v>601774.37183884543</v>
      </c>
      <c r="C2">
        <v>2.0679847015510067</v>
      </c>
    </row>
    <row r="3" spans="1:3" x14ac:dyDescent="0.25">
      <c r="A3" t="s">
        <v>94</v>
      </c>
      <c r="B3">
        <v>35745.52874742214</v>
      </c>
      <c r="C3">
        <v>0.75515798166041481</v>
      </c>
    </row>
    <row r="4" spans="1:3" x14ac:dyDescent="0.25">
      <c r="A4" t="s">
        <v>95</v>
      </c>
      <c r="B4">
        <v>2885.6963476257092</v>
      </c>
      <c r="C4">
        <v>-20.190472912503587</v>
      </c>
    </row>
    <row r="5" spans="1:3" x14ac:dyDescent="0.25">
      <c r="A5" t="s">
        <v>96</v>
      </c>
      <c r="B5">
        <v>30883.247444069126</v>
      </c>
      <c r="C5">
        <v>10.277229912305597</v>
      </c>
    </row>
    <row r="6" spans="1:3" x14ac:dyDescent="0.25">
      <c r="A6" t="s">
        <v>97</v>
      </c>
      <c r="B6">
        <v>113577.88788301843</v>
      </c>
      <c r="C6">
        <v>-2.4055655465160419</v>
      </c>
    </row>
    <row r="7" spans="1:3" x14ac:dyDescent="0.25">
      <c r="A7" t="s">
        <v>98</v>
      </c>
      <c r="B7">
        <v>13164.81247256164</v>
      </c>
      <c r="C7">
        <v>-0.81974073762508537</v>
      </c>
    </row>
    <row r="8" spans="1:3" x14ac:dyDescent="0.25">
      <c r="A8" t="s">
        <v>99</v>
      </c>
      <c r="B8">
        <v>20296.837836281982</v>
      </c>
      <c r="C8">
        <v>1.0237817598343968</v>
      </c>
    </row>
    <row r="9" spans="1:3" x14ac:dyDescent="0.25">
      <c r="A9" t="s">
        <v>100</v>
      </c>
      <c r="B9">
        <v>93343.614986502551</v>
      </c>
      <c r="C9">
        <v>0.619094181924984</v>
      </c>
    </row>
    <row r="10" spans="1:3" x14ac:dyDescent="0.25">
      <c r="A10" t="s">
        <v>101</v>
      </c>
      <c r="B10">
        <v>11853.533818035672</v>
      </c>
      <c r="C10">
        <v>7.1428768688438504</v>
      </c>
    </row>
    <row r="11" spans="1:3" x14ac:dyDescent="0.25">
      <c r="A11" t="s">
        <v>102</v>
      </c>
      <c r="B11">
        <v>55332.186087353206</v>
      </c>
      <c r="C11">
        <v>1.7728968233303721</v>
      </c>
    </row>
    <row r="12" spans="1:3" x14ac:dyDescent="0.25">
      <c r="A12" t="s">
        <v>103</v>
      </c>
      <c r="B12">
        <v>31025.390068801698</v>
      </c>
      <c r="C12">
        <v>28.354908519955814</v>
      </c>
    </row>
    <row r="13" spans="1:3" x14ac:dyDescent="0.25">
      <c r="A13" t="s">
        <v>104</v>
      </c>
      <c r="B13">
        <v>84710.173468865076</v>
      </c>
      <c r="C13">
        <v>3.6890093504288846</v>
      </c>
    </row>
    <row r="14" spans="1:3" x14ac:dyDescent="0.25">
      <c r="A14" t="s">
        <v>105</v>
      </c>
      <c r="B14">
        <v>35107.740864300358</v>
      </c>
      <c r="C14">
        <v>-0.57065650406127322</v>
      </c>
    </row>
    <row r="15" spans="1:3" x14ac:dyDescent="0.25">
      <c r="A15" t="s">
        <v>106</v>
      </c>
      <c r="B15">
        <v>29948.638227285704</v>
      </c>
      <c r="C15">
        <v>1.3503828666152184</v>
      </c>
    </row>
    <row r="16" spans="1:3" x14ac:dyDescent="0.25">
      <c r="A16" t="s">
        <v>107</v>
      </c>
      <c r="B16">
        <v>24349.209293840257</v>
      </c>
      <c r="C16">
        <v>7.1541632982685677E-2</v>
      </c>
    </row>
    <row r="17" spans="1:3" x14ac:dyDescent="0.25">
      <c r="A17" t="s">
        <v>108</v>
      </c>
      <c r="B17">
        <v>15566.748781195141</v>
      </c>
      <c r="C17">
        <v>0.5659234061553553</v>
      </c>
    </row>
    <row r="18" spans="1:3" x14ac:dyDescent="0.25">
      <c r="A18" t="s">
        <v>109</v>
      </c>
      <c r="B18">
        <v>3983.1255116867405</v>
      </c>
      <c r="C18">
        <v>-0.48787459513544018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18"/>
  <sheetViews>
    <sheetView topLeftCell="A106" zoomScaleNormal="100" workbookViewId="0">
      <selection activeCell="A118" sqref="A118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110</v>
      </c>
      <c r="B1" s="14" t="s">
        <v>111</v>
      </c>
      <c r="C1" s="13" t="s">
        <v>112</v>
      </c>
      <c r="D1" s="13" t="s">
        <v>113</v>
      </c>
    </row>
    <row r="2" spans="1:4" x14ac:dyDescent="0.25">
      <c r="A2" s="4">
        <v>42370</v>
      </c>
      <c r="B2" s="17">
        <v>134.74645041349706</v>
      </c>
      <c r="C2" s="36">
        <v>148.00259600835696</v>
      </c>
      <c r="D2" s="36">
        <v>147.09724813064847</v>
      </c>
    </row>
    <row r="3" spans="1:4" x14ac:dyDescent="0.25">
      <c r="A3" s="4">
        <v>42401</v>
      </c>
      <c r="B3" s="17">
        <v>134.23236103862521</v>
      </c>
      <c r="C3" s="36">
        <v>147.11266149819804</v>
      </c>
      <c r="D3" s="36">
        <v>146.51991387272201</v>
      </c>
    </row>
    <row r="4" spans="1:4" x14ac:dyDescent="0.25">
      <c r="A4" s="4">
        <v>42430</v>
      </c>
      <c r="B4" s="17">
        <v>150.0878942366954</v>
      </c>
      <c r="C4" s="36">
        <v>146.13696374786221</v>
      </c>
      <c r="D4" s="36">
        <v>145.97100110475958</v>
      </c>
    </row>
    <row r="5" spans="1:4" x14ac:dyDescent="0.25">
      <c r="A5" s="4">
        <v>42461</v>
      </c>
      <c r="B5" s="17">
        <v>153.25067436662908</v>
      </c>
      <c r="C5" s="36">
        <v>144.93432676559402</v>
      </c>
      <c r="D5" s="36">
        <v>145.48517527052081</v>
      </c>
    </row>
    <row r="6" spans="1:4" x14ac:dyDescent="0.25">
      <c r="A6" s="4">
        <v>42491</v>
      </c>
      <c r="B6" s="17">
        <v>163.51360808690507</v>
      </c>
      <c r="C6" s="36">
        <v>144.56638395810594</v>
      </c>
      <c r="D6" s="36">
        <v>145.08924977116538</v>
      </c>
    </row>
    <row r="7" spans="1:4" x14ac:dyDescent="0.25">
      <c r="A7" s="4">
        <v>42522</v>
      </c>
      <c r="B7" s="17">
        <v>153.66209524099784</v>
      </c>
      <c r="C7" s="36">
        <v>144.2444770513703</v>
      </c>
      <c r="D7" s="36">
        <v>144.80372949980475</v>
      </c>
    </row>
    <row r="8" spans="1:4" x14ac:dyDescent="0.25">
      <c r="A8" s="4">
        <v>42552</v>
      </c>
      <c r="B8" s="17">
        <v>143.73110098180126</v>
      </c>
      <c r="C8" s="36">
        <v>144.44491620256306</v>
      </c>
      <c r="D8" s="36">
        <v>144.64061787519884</v>
      </c>
    </row>
    <row r="9" spans="1:4" x14ac:dyDescent="0.25">
      <c r="A9" s="4">
        <v>42583</v>
      </c>
      <c r="B9" s="17">
        <v>143.6741026486049</v>
      </c>
      <c r="C9" s="36">
        <v>145.51757970635813</v>
      </c>
      <c r="D9" s="36">
        <v>144.60728115699726</v>
      </c>
    </row>
    <row r="10" spans="1:4" x14ac:dyDescent="0.25">
      <c r="A10" s="4">
        <v>42614</v>
      </c>
      <c r="B10" s="17">
        <v>142.00773744282046</v>
      </c>
      <c r="C10" s="36">
        <v>144.91998100590072</v>
      </c>
      <c r="D10" s="36">
        <v>144.70811377990157</v>
      </c>
    </row>
    <row r="11" spans="1:4" x14ac:dyDescent="0.25">
      <c r="A11" s="4">
        <v>42644</v>
      </c>
      <c r="B11" s="17">
        <v>141.13686329808141</v>
      </c>
      <c r="C11" s="36">
        <v>144.96452863134448</v>
      </c>
      <c r="D11" s="36">
        <v>144.93944281402247</v>
      </c>
    </row>
    <row r="12" spans="1:4" x14ac:dyDescent="0.25">
      <c r="A12" s="4">
        <v>42675</v>
      </c>
      <c r="B12" s="17">
        <v>144.93832064073018</v>
      </c>
      <c r="C12" s="36">
        <v>145.66403681646824</v>
      </c>
      <c r="D12" s="36">
        <v>145.29021495041698</v>
      </c>
    </row>
    <row r="13" spans="1:4" x14ac:dyDescent="0.25">
      <c r="A13" s="4">
        <v>42705</v>
      </c>
      <c r="B13" s="17">
        <v>142.59014516031914</v>
      </c>
      <c r="C13" s="36">
        <v>147.06290214119002</v>
      </c>
      <c r="D13" s="36">
        <v>145.74727155192227</v>
      </c>
    </row>
    <row r="14" spans="1:4" x14ac:dyDescent="0.25">
      <c r="A14" s="4">
        <v>42736</v>
      </c>
      <c r="B14" s="17">
        <v>136.63265948316166</v>
      </c>
      <c r="C14" s="36">
        <v>147.27591077177092</v>
      </c>
      <c r="D14" s="36">
        <v>146.2928851640057</v>
      </c>
    </row>
    <row r="15" spans="1:4" x14ac:dyDescent="0.25">
      <c r="A15" s="4">
        <v>42767</v>
      </c>
      <c r="B15" s="17">
        <v>132.15851633982231</v>
      </c>
      <c r="C15" s="36">
        <v>146.93039201550872</v>
      </c>
      <c r="D15" s="36">
        <v>146.90521532665647</v>
      </c>
    </row>
    <row r="16" spans="1:4" x14ac:dyDescent="0.25">
      <c r="A16" s="4">
        <v>42795</v>
      </c>
      <c r="B16" s="17">
        <v>152.6209585590569</v>
      </c>
      <c r="C16" s="36">
        <v>147.79482112294343</v>
      </c>
      <c r="D16" s="36">
        <v>147.56076002161018</v>
      </c>
    </row>
    <row r="17" spans="1:4" x14ac:dyDescent="0.25">
      <c r="A17" s="4">
        <v>42826</v>
      </c>
      <c r="B17" s="17">
        <v>151.94634480448693</v>
      </c>
      <c r="C17" s="36">
        <v>147.62687815014681</v>
      </c>
      <c r="D17" s="36">
        <v>148.23420347809915</v>
      </c>
    </row>
    <row r="18" spans="1:4" x14ac:dyDescent="0.25">
      <c r="A18" s="4">
        <v>42856</v>
      </c>
      <c r="B18" s="17">
        <v>168.38920946936739</v>
      </c>
      <c r="C18" s="36">
        <v>148.52884126467694</v>
      </c>
      <c r="D18" s="36">
        <v>148.8953896622956</v>
      </c>
    </row>
    <row r="19" spans="1:4" x14ac:dyDescent="0.25">
      <c r="A19" s="4">
        <v>42887</v>
      </c>
      <c r="B19" s="17">
        <v>161.03568546945192</v>
      </c>
      <c r="C19" s="36">
        <v>150.17286846014534</v>
      </c>
      <c r="D19" s="36">
        <v>149.51087871261967</v>
      </c>
    </row>
    <row r="20" spans="1:4" x14ac:dyDescent="0.25">
      <c r="A20" s="4">
        <v>42917</v>
      </c>
      <c r="B20" s="17">
        <v>150.30605012391959</v>
      </c>
      <c r="C20" s="36">
        <v>150.44288409535577</v>
      </c>
      <c r="D20" s="36">
        <v>150.04538234496059</v>
      </c>
    </row>
    <row r="21" spans="1:4" x14ac:dyDescent="0.25">
      <c r="A21" s="4">
        <v>42948</v>
      </c>
      <c r="B21" s="17">
        <v>149.25534277384068</v>
      </c>
      <c r="C21" s="36">
        <v>150.42119077762925</v>
      </c>
      <c r="D21" s="36">
        <v>150.46377215727119</v>
      </c>
    </row>
    <row r="22" spans="1:4" x14ac:dyDescent="0.25">
      <c r="A22" s="4">
        <v>42979</v>
      </c>
      <c r="B22" s="17">
        <v>146.38655965775345</v>
      </c>
      <c r="C22" s="36">
        <v>151.22863619142828</v>
      </c>
      <c r="D22" s="36">
        <v>150.73330126228768</v>
      </c>
    </row>
    <row r="23" spans="1:4" x14ac:dyDescent="0.25">
      <c r="A23" s="4">
        <v>43009</v>
      </c>
      <c r="B23" s="17">
        <v>149.38594966601414</v>
      </c>
      <c r="C23" s="36">
        <v>151.70547078085093</v>
      </c>
      <c r="D23" s="36">
        <v>150.82939340457611</v>
      </c>
    </row>
    <row r="24" spans="1:4" x14ac:dyDescent="0.25">
      <c r="A24" s="4">
        <v>43040</v>
      </c>
      <c r="B24" s="17">
        <v>151.92604285202648</v>
      </c>
      <c r="C24" s="36">
        <v>152.50540710970964</v>
      </c>
      <c r="D24" s="36">
        <v>150.73284858544955</v>
      </c>
    </row>
    <row r="25" spans="1:4" x14ac:dyDescent="0.25">
      <c r="A25" s="4">
        <v>43070</v>
      </c>
      <c r="B25" s="17">
        <v>146.78338490922405</v>
      </c>
      <c r="C25" s="36">
        <v>152.1934033449549</v>
      </c>
      <c r="D25" s="36">
        <v>150.43589501630328</v>
      </c>
    </row>
    <row r="26" spans="1:4" x14ac:dyDescent="0.25">
      <c r="A26" s="4">
        <v>43101</v>
      </c>
      <c r="B26" s="17">
        <v>142.74091260617178</v>
      </c>
      <c r="C26" s="36">
        <v>150.73570158619461</v>
      </c>
      <c r="D26" s="36">
        <v>149.94685215319538</v>
      </c>
    </row>
    <row r="27" spans="1:4" x14ac:dyDescent="0.25">
      <c r="A27" s="4">
        <v>43132</v>
      </c>
      <c r="B27" s="17">
        <v>138.81804035165698</v>
      </c>
      <c r="C27" s="36">
        <v>151.89171452280348</v>
      </c>
      <c r="D27" s="36">
        <v>149.28857140084153</v>
      </c>
    </row>
    <row r="28" spans="1:4" x14ac:dyDescent="0.25">
      <c r="A28" s="4">
        <v>43160</v>
      </c>
      <c r="B28" s="17">
        <v>155.85731953576931</v>
      </c>
      <c r="C28" s="36">
        <v>151.35614752920901</v>
      </c>
      <c r="D28" s="36">
        <v>148.49640523127445</v>
      </c>
    </row>
    <row r="29" spans="1:4" x14ac:dyDescent="0.25">
      <c r="A29" s="4">
        <v>43191</v>
      </c>
      <c r="B29" s="17">
        <v>151.52454398394298</v>
      </c>
      <c r="C29" s="36">
        <v>146.84753936477492</v>
      </c>
      <c r="D29" s="36">
        <v>147.61481678730905</v>
      </c>
    </row>
    <row r="30" spans="1:4" x14ac:dyDescent="0.25">
      <c r="A30" s="4">
        <v>43221</v>
      </c>
      <c r="B30" s="17">
        <v>159.56669237791624</v>
      </c>
      <c r="C30" s="36">
        <v>144.75182058556018</v>
      </c>
      <c r="D30" s="36">
        <v>146.69474271802324</v>
      </c>
    </row>
    <row r="31" spans="1:4" x14ac:dyDescent="0.25">
      <c r="A31" s="4">
        <v>43252</v>
      </c>
      <c r="B31" s="17">
        <v>151.12576323345479</v>
      </c>
      <c r="C31" s="36">
        <v>143.46829793310781</v>
      </c>
      <c r="D31" s="36">
        <v>145.78899771731963</v>
      </c>
    </row>
    <row r="32" spans="1:4" x14ac:dyDescent="0.25">
      <c r="A32" s="4">
        <v>43282</v>
      </c>
      <c r="B32" s="17">
        <v>145.96352443000418</v>
      </c>
      <c r="C32" s="36">
        <v>143.8882833656692</v>
      </c>
      <c r="D32" s="36">
        <v>144.94660381413576</v>
      </c>
    </row>
    <row r="33" spans="1:4" x14ac:dyDescent="0.25">
      <c r="A33" s="4">
        <v>43313</v>
      </c>
      <c r="B33" s="17">
        <v>146.76596003413925</v>
      </c>
      <c r="C33" s="36">
        <v>146.68010201168326</v>
      </c>
      <c r="D33" s="36">
        <v>144.21208227167693</v>
      </c>
    </row>
    <row r="34" spans="1:4" x14ac:dyDescent="0.25">
      <c r="A34" s="4">
        <v>43344</v>
      </c>
      <c r="B34" s="17">
        <v>137.74656971864761</v>
      </c>
      <c r="C34" s="36">
        <v>143.18985532414575</v>
      </c>
      <c r="D34" s="36">
        <v>143.61624398233693</v>
      </c>
    </row>
    <row r="35" spans="1:4" x14ac:dyDescent="0.25">
      <c r="A35" s="4">
        <v>43374</v>
      </c>
      <c r="B35" s="17">
        <v>142.84327598456719</v>
      </c>
      <c r="C35" s="36">
        <v>143.42904872340154</v>
      </c>
      <c r="D35" s="36">
        <v>143.17285902735918</v>
      </c>
    </row>
    <row r="36" spans="1:4" x14ac:dyDescent="0.25">
      <c r="A36" s="4">
        <v>43405</v>
      </c>
      <c r="B36" s="17">
        <v>140.59240732533522</v>
      </c>
      <c r="C36" s="36">
        <v>141.52666103038609</v>
      </c>
      <c r="D36" s="36">
        <v>142.88318900281178</v>
      </c>
    </row>
    <row r="37" spans="1:4" x14ac:dyDescent="0.25">
      <c r="A37" s="4">
        <v>43435</v>
      </c>
      <c r="B37" s="17">
        <v>136.25161596905596</v>
      </c>
      <c r="C37" s="36">
        <v>142.0314535513115</v>
      </c>
      <c r="D37" s="36">
        <v>142.73560353965496</v>
      </c>
    </row>
    <row r="38" spans="1:4" x14ac:dyDescent="0.25">
      <c r="A38" s="4">
        <v>43466</v>
      </c>
      <c r="B38" s="17">
        <v>134.53623985669535</v>
      </c>
      <c r="C38" s="36">
        <v>141.80070648873684</v>
      </c>
      <c r="D38" s="36">
        <v>142.70403745727475</v>
      </c>
    </row>
    <row r="39" spans="1:4" x14ac:dyDescent="0.25">
      <c r="A39" s="4">
        <v>43497</v>
      </c>
      <c r="B39" s="17">
        <v>132.26788861273619</v>
      </c>
      <c r="C39" s="36">
        <v>144.20023125379288</v>
      </c>
      <c r="D39" s="36">
        <v>142.75181537570114</v>
      </c>
    </row>
    <row r="40" spans="1:4" x14ac:dyDescent="0.25">
      <c r="A40" s="4">
        <v>43525</v>
      </c>
      <c r="B40" s="17">
        <v>144.96325495574871</v>
      </c>
      <c r="C40" s="36">
        <v>142.62658225259321</v>
      </c>
      <c r="D40" s="36">
        <v>142.84002429281784</v>
      </c>
    </row>
    <row r="41" spans="1:4" x14ac:dyDescent="0.25">
      <c r="A41" s="4">
        <v>43556</v>
      </c>
      <c r="B41" s="17">
        <v>149.91622140352226</v>
      </c>
      <c r="C41" s="36">
        <v>142.62399859145773</v>
      </c>
      <c r="D41" s="36">
        <v>142.92789964430148</v>
      </c>
    </row>
    <row r="42" spans="1:4" x14ac:dyDescent="0.25">
      <c r="A42" s="4">
        <v>43586</v>
      </c>
      <c r="B42" s="17">
        <v>164.13569907591997</v>
      </c>
      <c r="C42" s="36">
        <v>144.61711955892861</v>
      </c>
      <c r="D42" s="36">
        <v>142.97749538538807</v>
      </c>
    </row>
    <row r="43" spans="1:4" x14ac:dyDescent="0.25">
      <c r="A43" s="4">
        <v>43617</v>
      </c>
      <c r="B43" s="17">
        <v>150.85897174113083</v>
      </c>
      <c r="C43" s="36">
        <v>143.70845714572945</v>
      </c>
      <c r="D43" s="36">
        <v>142.95533112127092</v>
      </c>
    </row>
    <row r="44" spans="1:4" x14ac:dyDescent="0.25">
      <c r="A44" s="4">
        <v>43647</v>
      </c>
      <c r="B44" s="17">
        <v>146.77702964006988</v>
      </c>
      <c r="C44" s="36">
        <v>145.56998820040661</v>
      </c>
      <c r="D44" s="36">
        <v>142.83431698468286</v>
      </c>
    </row>
    <row r="45" spans="1:4" x14ac:dyDescent="0.25">
      <c r="A45" s="4">
        <v>43678</v>
      </c>
      <c r="B45" s="17">
        <v>141.27693468083987</v>
      </c>
      <c r="C45" s="36">
        <v>144.61116519499626</v>
      </c>
      <c r="D45" s="36">
        <v>142.59698387205546</v>
      </c>
    </row>
    <row r="46" spans="1:4" x14ac:dyDescent="0.25">
      <c r="A46" s="4">
        <v>43709</v>
      </c>
      <c r="B46" s="17">
        <v>134.87706647993608</v>
      </c>
      <c r="C46" s="36">
        <v>140.43575653023751</v>
      </c>
      <c r="D46" s="36">
        <v>142.23641176713437</v>
      </c>
    </row>
    <row r="47" spans="1:4" x14ac:dyDescent="0.25">
      <c r="A47" s="4">
        <v>43739</v>
      </c>
      <c r="B47" s="17">
        <v>141.63933661701336</v>
      </c>
      <c r="C47" s="36">
        <v>143.68676613680054</v>
      </c>
      <c r="D47" s="36">
        <v>141.75611409856566</v>
      </c>
    </row>
    <row r="48" spans="1:4" x14ac:dyDescent="0.25">
      <c r="A48" s="4">
        <v>43770</v>
      </c>
      <c r="B48" s="17">
        <v>137.77182966933103</v>
      </c>
      <c r="C48" s="36">
        <v>140.77423808895205</v>
      </c>
      <c r="D48" s="36">
        <v>141.17048119747901</v>
      </c>
    </row>
    <row r="49" spans="1:4" x14ac:dyDescent="0.25">
      <c r="A49" s="4">
        <v>43800</v>
      </c>
      <c r="B49" s="17">
        <v>135.76515452763459</v>
      </c>
      <c r="C49" s="36">
        <v>140.13061779596248</v>
      </c>
      <c r="D49" s="36">
        <v>140.50486042863392</v>
      </c>
    </row>
    <row r="50" spans="1:4" x14ac:dyDescent="0.25">
      <c r="A50" s="4">
        <v>43831</v>
      </c>
      <c r="B50" s="17">
        <v>133.89108608957201</v>
      </c>
      <c r="C50" s="36">
        <v>140.58665899171356</v>
      </c>
      <c r="D50" s="36">
        <v>139.78886705312087</v>
      </c>
    </row>
    <row r="51" spans="1:4" x14ac:dyDescent="0.25">
      <c r="A51" s="4">
        <v>43862</v>
      </c>
      <c r="B51" s="17">
        <v>128.9736387465978</v>
      </c>
      <c r="C51" s="36">
        <v>139.35660202037917</v>
      </c>
      <c r="D51" s="36">
        <v>139.05663049436359</v>
      </c>
    </row>
    <row r="52" spans="1:4" x14ac:dyDescent="0.25">
      <c r="A52" s="4">
        <v>43891</v>
      </c>
      <c r="B52" s="17">
        <v>128.21106074025613</v>
      </c>
      <c r="C52" s="36">
        <v>126.00621378164502</v>
      </c>
      <c r="D52" s="36">
        <v>138.34430132269983</v>
      </c>
    </row>
    <row r="53" spans="1:4" x14ac:dyDescent="0.25">
      <c r="A53" s="4">
        <v>43922</v>
      </c>
      <c r="B53" s="17">
        <v>113.29503444580075</v>
      </c>
      <c r="C53" s="36">
        <v>106.19038846148764</v>
      </c>
      <c r="D53" s="36">
        <v>137.68884079388366</v>
      </c>
    </row>
    <row r="54" spans="1:4" x14ac:dyDescent="0.25">
      <c r="A54" s="4">
        <v>43952</v>
      </c>
      <c r="B54" s="17">
        <v>131.02956919734854</v>
      </c>
      <c r="C54" s="36">
        <v>117.58169902265048</v>
      </c>
      <c r="D54" s="36">
        <v>137.12500378867409</v>
      </c>
    </row>
    <row r="55" spans="1:4" x14ac:dyDescent="0.25">
      <c r="A55" s="4">
        <v>43983</v>
      </c>
      <c r="B55" s="17">
        <v>132.52196526648777</v>
      </c>
      <c r="C55" s="36">
        <v>124.77408958289784</v>
      </c>
      <c r="D55" s="36">
        <v>136.68181470266626</v>
      </c>
    </row>
    <row r="56" spans="1:4" x14ac:dyDescent="0.25">
      <c r="A56" s="4">
        <v>44013</v>
      </c>
      <c r="B56" s="17">
        <v>127.46368946979506</v>
      </c>
      <c r="C56" s="36">
        <v>126.28697705265132</v>
      </c>
      <c r="D56" s="36">
        <v>136.38022531721614</v>
      </c>
    </row>
    <row r="57" spans="1:4" x14ac:dyDescent="0.25">
      <c r="A57" s="4">
        <v>44044</v>
      </c>
      <c r="B57" s="17">
        <v>125.18389375984673</v>
      </c>
      <c r="C57" s="36">
        <v>128.86548889574121</v>
      </c>
      <c r="D57" s="36">
        <v>136.23406247255303</v>
      </c>
    </row>
    <row r="58" spans="1:4" x14ac:dyDescent="0.25">
      <c r="A58" s="4">
        <v>44075</v>
      </c>
      <c r="B58" s="17">
        <v>127.17507609335033</v>
      </c>
      <c r="C58" s="36">
        <v>130.68218975309483</v>
      </c>
      <c r="D58" s="36">
        <v>136.24672570085517</v>
      </c>
    </row>
    <row r="59" spans="1:4" x14ac:dyDescent="0.25">
      <c r="A59" s="4">
        <v>44105</v>
      </c>
      <c r="B59" s="17">
        <v>131.34550189452088</v>
      </c>
      <c r="C59" s="36">
        <v>133.21089788041095</v>
      </c>
      <c r="D59" s="36">
        <v>136.41363866083083</v>
      </c>
    </row>
    <row r="60" spans="1:4" x14ac:dyDescent="0.25">
      <c r="A60" s="4">
        <v>44136</v>
      </c>
      <c r="B60" s="17">
        <v>132.06865525299347</v>
      </c>
      <c r="C60" s="36">
        <v>134.60529300000701</v>
      </c>
      <c r="D60" s="36">
        <v>136.71997908638863</v>
      </c>
    </row>
    <row r="61" spans="1:4" x14ac:dyDescent="0.25">
      <c r="A61" s="4">
        <v>44166</v>
      </c>
      <c r="B61" s="17">
        <v>133.85436559461513</v>
      </c>
      <c r="C61" s="36">
        <v>136.86703808864158</v>
      </c>
      <c r="D61" s="36">
        <v>137.14533392302889</v>
      </c>
    </row>
    <row r="62" spans="1:4" x14ac:dyDescent="0.25">
      <c r="A62" s="4">
        <v>44197</v>
      </c>
      <c r="B62" s="17">
        <v>131.52153739734848</v>
      </c>
      <c r="C62" s="36">
        <v>139.59988162411702</v>
      </c>
      <c r="D62" s="36">
        <v>137.66837277557755</v>
      </c>
    </row>
    <row r="63" spans="1:4" x14ac:dyDescent="0.25">
      <c r="A63" s="4">
        <v>44228</v>
      </c>
      <c r="B63" s="17">
        <v>126.23926696837636</v>
      </c>
      <c r="C63" s="36">
        <v>138.0999693362445</v>
      </c>
      <c r="D63" s="36">
        <v>138.27257830091324</v>
      </c>
    </row>
    <row r="64" spans="1:4" x14ac:dyDescent="0.25">
      <c r="A64" s="4">
        <v>44256</v>
      </c>
      <c r="B64" s="17">
        <v>145.95690010360408</v>
      </c>
      <c r="C64" s="36">
        <v>141.11343037276029</v>
      </c>
      <c r="D64" s="36">
        <v>138.94669250192524</v>
      </c>
    </row>
    <row r="65" spans="1:4" x14ac:dyDescent="0.25">
      <c r="A65" s="4">
        <v>44287</v>
      </c>
      <c r="B65" s="17">
        <v>147.2808440186233</v>
      </c>
      <c r="C65" s="36">
        <v>139.4861605260796</v>
      </c>
      <c r="D65" s="36">
        <v>139.6835490810457</v>
      </c>
    </row>
    <row r="66" spans="1:4" x14ac:dyDescent="0.25">
      <c r="A66" s="4">
        <v>44317</v>
      </c>
      <c r="B66" s="17">
        <v>151.16932233869056</v>
      </c>
      <c r="C66" s="36">
        <v>138.99899925321944</v>
      </c>
      <c r="D66" s="36">
        <v>140.4799720653053</v>
      </c>
    </row>
    <row r="67" spans="1:4" x14ac:dyDescent="0.25">
      <c r="A67" s="4">
        <v>44348</v>
      </c>
      <c r="B67" s="17">
        <v>148.97961710860505</v>
      </c>
      <c r="C67" s="36">
        <v>141.53699956982788</v>
      </c>
      <c r="D67" s="36">
        <v>141.33412979446234</v>
      </c>
    </row>
    <row r="68" spans="1:4" x14ac:dyDescent="0.25">
      <c r="A68" s="4">
        <v>44378</v>
      </c>
      <c r="B68" s="17">
        <v>142.42591306097282</v>
      </c>
      <c r="C68" s="36">
        <v>141.35974322332373</v>
      </c>
      <c r="D68" s="36">
        <v>142.24744795408753</v>
      </c>
    </row>
    <row r="69" spans="1:4" x14ac:dyDescent="0.25">
      <c r="A69" s="4">
        <v>44409</v>
      </c>
      <c r="B69" s="17">
        <v>140.97494072803616</v>
      </c>
      <c r="C69" s="36">
        <v>143.24296754654648</v>
      </c>
      <c r="D69" s="36">
        <v>143.22072171490547</v>
      </c>
    </row>
    <row r="70" spans="1:4" x14ac:dyDescent="0.25">
      <c r="A70" s="4">
        <v>44440</v>
      </c>
      <c r="B70" s="17">
        <v>141.29608908940912</v>
      </c>
      <c r="C70" s="36">
        <v>143.98457858285005</v>
      </c>
      <c r="D70" s="36">
        <v>144.24822576540504</v>
      </c>
    </row>
    <row r="71" spans="1:4" x14ac:dyDescent="0.25">
      <c r="A71" s="4">
        <v>44470</v>
      </c>
      <c r="B71" s="17">
        <v>139.51475869689213</v>
      </c>
      <c r="C71" s="36">
        <v>143.24586935566046</v>
      </c>
      <c r="D71" s="36">
        <v>145.3179480206197</v>
      </c>
    </row>
    <row r="72" spans="1:4" x14ac:dyDescent="0.25">
      <c r="A72" s="4">
        <v>44501</v>
      </c>
      <c r="B72" s="17">
        <v>143.7518776177136</v>
      </c>
      <c r="C72" s="36">
        <v>145.776843430605</v>
      </c>
      <c r="D72" s="36">
        <v>146.40494095671619</v>
      </c>
    </row>
    <row r="73" spans="1:4" x14ac:dyDescent="0.25">
      <c r="A73" s="4">
        <v>44531</v>
      </c>
      <c r="B73" s="17">
        <v>147.22987832209444</v>
      </c>
      <c r="C73" s="36">
        <v>149.89550260723536</v>
      </c>
      <c r="D73" s="36">
        <v>147.47128225487259</v>
      </c>
    </row>
    <row r="74" spans="1:4" x14ac:dyDescent="0.25">
      <c r="A74" s="4">
        <v>44562</v>
      </c>
      <c r="B74" s="17">
        <v>139.63796162490107</v>
      </c>
      <c r="C74" s="36">
        <v>148.42956843257878</v>
      </c>
      <c r="D74" s="36">
        <v>148.47281874071822</v>
      </c>
    </row>
    <row r="75" spans="1:4" x14ac:dyDescent="0.25">
      <c r="A75" s="4">
        <v>44593</v>
      </c>
      <c r="B75" s="17">
        <v>137.84951353039514</v>
      </c>
      <c r="C75" s="36">
        <v>150.67964836216831</v>
      </c>
      <c r="D75" s="36">
        <v>149.36393413929858</v>
      </c>
    </row>
    <row r="76" spans="1:4" x14ac:dyDescent="0.25">
      <c r="A76" s="4">
        <v>44621</v>
      </c>
      <c r="B76" s="17">
        <v>153.93085077631247</v>
      </c>
      <c r="C76" s="36">
        <v>150.61059818581191</v>
      </c>
      <c r="D76" s="36">
        <v>150.10469302279694</v>
      </c>
    </row>
    <row r="77" spans="1:4" x14ac:dyDescent="0.25">
      <c r="A77" s="4">
        <v>44652</v>
      </c>
      <c r="B77" s="17">
        <v>157.66169211628605</v>
      </c>
      <c r="C77" s="36">
        <v>152.05474723594261</v>
      </c>
      <c r="D77" s="36">
        <v>150.6674547609127</v>
      </c>
    </row>
    <row r="78" spans="1:4" x14ac:dyDescent="0.25">
      <c r="A78" s="4">
        <v>44682</v>
      </c>
      <c r="B78" s="17">
        <v>164.68936308998852</v>
      </c>
      <c r="C78" s="36">
        <v>152.20521615145253</v>
      </c>
      <c r="D78" s="36">
        <v>151.03732041682994</v>
      </c>
    </row>
    <row r="79" spans="1:4" x14ac:dyDescent="0.25">
      <c r="A79" s="4">
        <v>44713</v>
      </c>
      <c r="B79" s="17">
        <v>161.45483436246786</v>
      </c>
      <c r="C79" s="36">
        <v>154.17618991775851</v>
      </c>
      <c r="D79" s="36">
        <v>151.21357697692366</v>
      </c>
    </row>
    <row r="80" spans="1:4" x14ac:dyDescent="0.25">
      <c r="A80" s="4">
        <v>44743</v>
      </c>
      <c r="B80" s="17">
        <v>152.44538769475182</v>
      </c>
      <c r="C80" s="36">
        <v>152.39773719003847</v>
      </c>
      <c r="D80" s="36">
        <v>151.21185344756074</v>
      </c>
    </row>
    <row r="81" spans="1:4" x14ac:dyDescent="0.25">
      <c r="A81" s="4">
        <v>44774</v>
      </c>
      <c r="B81" s="17">
        <v>151.46573902519307</v>
      </c>
      <c r="C81" s="36">
        <v>151.6199574121037</v>
      </c>
      <c r="D81" s="36">
        <v>151.06132459773048</v>
      </c>
    </row>
    <row r="82" spans="1:4" x14ac:dyDescent="0.25">
      <c r="A82" s="4">
        <v>44805</v>
      </c>
      <c r="B82" s="17">
        <v>149.17434933725812</v>
      </c>
      <c r="C82" s="36">
        <v>150.71526317724607</v>
      </c>
      <c r="D82" s="36">
        <v>150.79914485649448</v>
      </c>
    </row>
    <row r="83" spans="1:4" x14ac:dyDescent="0.25">
      <c r="A83" s="4">
        <v>44835</v>
      </c>
      <c r="B83" s="17">
        <v>146.55439498912904</v>
      </c>
      <c r="C83" s="36">
        <v>149.15491946476055</v>
      </c>
      <c r="D83" s="36">
        <v>150.46475780910191</v>
      </c>
    </row>
    <row r="84" spans="1:4" x14ac:dyDescent="0.25">
      <c r="A84" s="4">
        <v>44866</v>
      </c>
      <c r="B84" s="17">
        <v>148.03049443524324</v>
      </c>
      <c r="C84" s="36">
        <v>148.38022426470292</v>
      </c>
      <c r="D84" s="36">
        <v>150.09405139050429</v>
      </c>
    </row>
    <row r="85" spans="1:4" x14ac:dyDescent="0.25">
      <c r="A85" s="4">
        <v>44896</v>
      </c>
      <c r="B85" s="17">
        <v>146.18080800481482</v>
      </c>
      <c r="C85" s="36">
        <v>148.65131916898437</v>
      </c>
      <c r="D85" s="36">
        <v>149.71831183153017</v>
      </c>
    </row>
    <row r="86" spans="1:4" x14ac:dyDescent="0.25">
      <c r="A86" s="4">
        <v>44927</v>
      </c>
      <c r="B86" s="17">
        <v>143.03019028754764</v>
      </c>
      <c r="C86" s="36">
        <v>149.72142883427074</v>
      </c>
      <c r="D86" s="36">
        <v>149.35834119532396</v>
      </c>
    </row>
    <row r="87" spans="1:4" x14ac:dyDescent="0.25">
      <c r="A87" s="4">
        <v>44958</v>
      </c>
      <c r="B87" s="17">
        <v>137.2620271119556</v>
      </c>
      <c r="C87" s="36">
        <v>149.68031010671618</v>
      </c>
      <c r="D87" s="36">
        <v>149.02338535715455</v>
      </c>
    </row>
    <row r="88" spans="1:4" x14ac:dyDescent="0.25">
      <c r="A88" s="4">
        <v>44986</v>
      </c>
      <c r="B88" s="17">
        <v>155.06056763671828</v>
      </c>
      <c r="C88" s="36">
        <v>151.01583712380312</v>
      </c>
      <c r="D88" s="36">
        <v>148.70678974047826</v>
      </c>
    </row>
    <row r="89" spans="1:4" x14ac:dyDescent="0.25">
      <c r="A89" s="4">
        <v>45017</v>
      </c>
      <c r="B89" s="17">
        <v>150.0210849223289</v>
      </c>
      <c r="C89" s="36">
        <v>147.45350740862617</v>
      </c>
      <c r="D89" s="36">
        <v>148.39158993125702</v>
      </c>
    </row>
    <row r="90" spans="1:4" x14ac:dyDescent="0.25">
      <c r="A90" s="4">
        <v>45047</v>
      </c>
      <c r="B90" s="17">
        <v>153.77240570346532</v>
      </c>
      <c r="C90" s="36">
        <v>145.77227641737377</v>
      </c>
      <c r="D90" s="36">
        <v>148.05477035013274</v>
      </c>
    </row>
    <row r="91" spans="1:4" x14ac:dyDescent="0.25">
      <c r="A91" s="4">
        <v>45078</v>
      </c>
      <c r="B91" s="17">
        <v>152.55703188887483</v>
      </c>
      <c r="C91" s="36">
        <v>146.31219325483028</v>
      </c>
      <c r="D91" s="36">
        <v>147.6750332625937</v>
      </c>
    </row>
    <row r="92" spans="1:4" x14ac:dyDescent="0.25">
      <c r="A92" s="4">
        <v>45108</v>
      </c>
      <c r="B92" s="17">
        <v>150.22297370315931</v>
      </c>
      <c r="C92" s="36">
        <v>148.55387779172756</v>
      </c>
      <c r="D92" s="36">
        <v>147.23919485240833</v>
      </c>
    </row>
    <row r="93" spans="1:4" x14ac:dyDescent="0.25">
      <c r="A93" s="4">
        <v>45139</v>
      </c>
      <c r="B93" s="17">
        <v>151.94203815524668</v>
      </c>
      <c r="C93" s="36">
        <v>149.91802083100308</v>
      </c>
      <c r="D93" s="36">
        <v>146.7438972325651</v>
      </c>
    </row>
    <row r="94" spans="1:4" x14ac:dyDescent="0.25">
      <c r="A94" s="4">
        <v>45170</v>
      </c>
      <c r="B94" s="17">
        <v>148.43224324844681</v>
      </c>
      <c r="C94" s="36">
        <v>149.4333676531964</v>
      </c>
      <c r="D94" s="36">
        <v>146.19954242724961</v>
      </c>
    </row>
    <row r="95" spans="1:4" x14ac:dyDescent="0.25">
      <c r="A95" s="4">
        <v>45200</v>
      </c>
      <c r="B95" s="17">
        <v>147.50696059114603</v>
      </c>
      <c r="C95" s="36">
        <v>148.0633471869981</v>
      </c>
      <c r="D95" s="36">
        <v>145.63061381954032</v>
      </c>
    </row>
    <row r="96" spans="1:4" x14ac:dyDescent="0.25">
      <c r="A96" s="4">
        <v>45231</v>
      </c>
      <c r="B96" s="17">
        <v>146.3594953026255</v>
      </c>
      <c r="C96" s="36">
        <v>146.31559000980718</v>
      </c>
      <c r="D96" s="36">
        <v>145.07028437574908</v>
      </c>
    </row>
    <row r="97" spans="1:4" x14ac:dyDescent="0.25">
      <c r="A97" s="4">
        <v>45261</v>
      </c>
      <c r="B97" s="17">
        <v>139.33576586369639</v>
      </c>
      <c r="C97" s="36">
        <v>143.2630277740727</v>
      </c>
      <c r="D97" s="36">
        <v>144.56283037371645</v>
      </c>
    </row>
    <row r="98" spans="1:4" x14ac:dyDescent="0.25">
      <c r="A98" s="4">
        <v>45292</v>
      </c>
      <c r="B98" s="17">
        <v>137.54602766978115</v>
      </c>
      <c r="C98" s="36">
        <v>143.85639788099331</v>
      </c>
      <c r="D98" s="36">
        <v>144.15631881811811</v>
      </c>
    </row>
    <row r="99" spans="1:4" x14ac:dyDescent="0.25">
      <c r="A99" s="4">
        <v>45323</v>
      </c>
      <c r="B99" s="17">
        <v>133.63722397436666</v>
      </c>
      <c r="C99" s="36">
        <v>143.85428434953661</v>
      </c>
      <c r="D99" s="36">
        <v>143.89667960210755</v>
      </c>
    </row>
    <row r="100" spans="1:4" x14ac:dyDescent="0.25">
      <c r="A100" s="4">
        <v>45352</v>
      </c>
      <c r="B100" s="17">
        <v>142.56862007401983</v>
      </c>
      <c r="C100" s="36">
        <v>142.8857719029744</v>
      </c>
      <c r="D100" s="36">
        <v>143.82277000225534</v>
      </c>
    </row>
    <row r="101" spans="1:4" x14ac:dyDescent="0.25">
      <c r="A101" s="4">
        <v>45383</v>
      </c>
      <c r="B101" s="17">
        <v>147.26512312698182</v>
      </c>
      <c r="C101" s="36">
        <v>141.02550349314336</v>
      </c>
      <c r="D101" s="36">
        <v>143.95807586193624</v>
      </c>
    </row>
    <row r="102" spans="1:4" x14ac:dyDescent="0.25">
      <c r="A102" s="4">
        <v>45413</v>
      </c>
      <c r="B102" s="17">
        <v>156.77658316226089</v>
      </c>
      <c r="C102" s="36">
        <v>142.58059700303693</v>
      </c>
      <c r="D102" s="36">
        <v>144.30613599348277</v>
      </c>
    </row>
    <row r="103" spans="1:4" x14ac:dyDescent="0.25">
      <c r="A103" s="4">
        <v>45444</v>
      </c>
      <c r="B103" s="17">
        <v>147.36517138899592</v>
      </c>
      <c r="C103" s="36">
        <v>143.59149182412918</v>
      </c>
      <c r="D103" s="36">
        <v>144.85305333402238</v>
      </c>
    </row>
    <row r="104" spans="1:4" x14ac:dyDescent="0.25">
      <c r="A104" s="4">
        <v>45474</v>
      </c>
      <c r="B104" s="17">
        <v>149.69753341398931</v>
      </c>
      <c r="C104" s="36">
        <v>147.07063486878755</v>
      </c>
      <c r="D104" s="36">
        <v>145.56492034517666</v>
      </c>
    </row>
    <row r="105" spans="1:4" x14ac:dyDescent="0.25">
      <c r="A105" s="4">
        <v>45505</v>
      </c>
      <c r="B105" s="17">
        <v>147.32757619683619</v>
      </c>
      <c r="C105" s="36">
        <v>147.81701775058627</v>
      </c>
      <c r="D105" s="36">
        <v>146.39371190614864</v>
      </c>
    </row>
    <row r="106" spans="1:4" x14ac:dyDescent="0.25">
      <c r="A106" s="4">
        <v>45536</v>
      </c>
      <c r="B106" s="17">
        <v>144.84377386912763</v>
      </c>
      <c r="C106" s="36">
        <v>147.6804684668684</v>
      </c>
      <c r="D106" s="36">
        <v>147.2852101291291</v>
      </c>
    </row>
    <row r="107" spans="1:4" x14ac:dyDescent="0.25">
      <c r="A107" s="4">
        <v>45566</v>
      </c>
      <c r="B107" s="17">
        <v>147.99463322173747</v>
      </c>
      <c r="C107" s="36">
        <v>148.84157255569406</v>
      </c>
      <c r="D107" s="36">
        <v>148.18212163464153</v>
      </c>
    </row>
    <row r="108" spans="1:4" x14ac:dyDescent="0.25">
      <c r="A108" s="4">
        <v>45597</v>
      </c>
      <c r="B108" s="17">
        <v>148.06936254337623</v>
      </c>
      <c r="C108" s="36">
        <v>150.37543692664161</v>
      </c>
      <c r="D108" s="36">
        <v>149.03454701247566</v>
      </c>
    </row>
    <row r="109" spans="1:4" x14ac:dyDescent="0.25">
      <c r="A109" s="4">
        <v>45627</v>
      </c>
      <c r="B109" s="17">
        <v>148.56738336376696</v>
      </c>
      <c r="C109" s="36">
        <v>152.07983668769512</v>
      </c>
      <c r="D109" s="36">
        <v>149.80608329672876</v>
      </c>
    </row>
    <row r="110" spans="1:4" x14ac:dyDescent="0.25">
      <c r="A110" s="4">
        <v>45658</v>
      </c>
      <c r="B110" s="17">
        <v>146.29593382423758</v>
      </c>
      <c r="C110" s="36">
        <v>152.16554899632646</v>
      </c>
      <c r="D110" s="36">
        <v>150.47837642993983</v>
      </c>
    </row>
    <row r="111" spans="1:4" x14ac:dyDescent="0.25">
      <c r="A111" s="4">
        <v>45689</v>
      </c>
      <c r="B111" s="17">
        <v>141.20222512873806</v>
      </c>
      <c r="C111" s="36">
        <v>153.3099470683448</v>
      </c>
      <c r="D111" s="36">
        <v>151.04581680198336</v>
      </c>
    </row>
    <row r="112" spans="1:4" x14ac:dyDescent="0.25">
      <c r="A112" s="4">
        <v>45717</v>
      </c>
      <c r="B112" s="17">
        <v>150.4063713528476</v>
      </c>
      <c r="C112" s="36">
        <v>150.70287700759997</v>
      </c>
      <c r="D112" s="36">
        <v>151.51302070926323</v>
      </c>
    </row>
    <row r="113" spans="1:4" x14ac:dyDescent="0.25">
      <c r="A113" s="4">
        <v>45748</v>
      </c>
      <c r="B113" s="17">
        <v>158.62909779877126</v>
      </c>
      <c r="C113" s="36">
        <v>152.34972745815071</v>
      </c>
      <c r="D113" s="36">
        <v>151.8931498020066</v>
      </c>
    </row>
    <row r="114" spans="1:4" x14ac:dyDescent="0.25">
      <c r="A114" s="4">
        <v>45778</v>
      </c>
      <c r="B114" s="17">
        <v>164.75152082204468</v>
      </c>
      <c r="C114" s="36">
        <v>152.10527495368987</v>
      </c>
      <c r="D114" s="36">
        <v>152.2030392709662</v>
      </c>
    </row>
    <row r="115" spans="1:4" x14ac:dyDescent="0.25">
      <c r="A115" s="4">
        <v>45809</v>
      </c>
      <c r="B115" s="17">
        <v>156.48363191823873</v>
      </c>
      <c r="C115" s="36">
        <v>151.53536428241841</v>
      </c>
      <c r="D115" s="36">
        <v>152.46022686109333</v>
      </c>
    </row>
    <row r="116" spans="1:4" x14ac:dyDescent="0.25">
      <c r="A116" s="4">
        <v>45839</v>
      </c>
      <c r="B116" s="17">
        <v>154.22962481728325</v>
      </c>
      <c r="C116" s="36">
        <v>151.71246039174534</v>
      </c>
      <c r="D116" s="36">
        <v>152.67736698715152</v>
      </c>
    </row>
    <row r="117" spans="1:4" x14ac:dyDescent="0.25">
      <c r="A117" s="4">
        <v>45870</v>
      </c>
      <c r="B117" s="17">
        <v>150.94389852702801</v>
      </c>
      <c r="C117" s="36">
        <v>152.80563541476826</v>
      </c>
      <c r="D117" s="36">
        <v>152.86020275291992</v>
      </c>
    </row>
    <row r="118" spans="1:4" x14ac:dyDescent="0.25">
      <c r="A118" s="4">
        <v>45901</v>
      </c>
      <c r="B118" s="41">
        <v>152.10005849514624</v>
      </c>
      <c r="C118" s="42">
        <v>153.62775127637786</v>
      </c>
      <c r="D118" s="42">
        <v>153.00468094115277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H2" sqref="H2:H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114</v>
      </c>
      <c r="B1" s="10" t="s">
        <v>6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</row>
    <row r="2" spans="1:8" x14ac:dyDescent="0.25">
      <c r="A2" s="15" t="s">
        <v>121</v>
      </c>
      <c r="B2" s="37">
        <v>1.4</v>
      </c>
      <c r="C2" s="20">
        <v>1.2</v>
      </c>
      <c r="D2" s="20">
        <v>1.2</v>
      </c>
      <c r="E2" s="20">
        <v>0.9</v>
      </c>
      <c r="F2" s="20">
        <v>1.8</v>
      </c>
      <c r="G2" s="20">
        <v>1.4</v>
      </c>
      <c r="H2" s="16">
        <v>1.3223986597101334</v>
      </c>
    </row>
    <row r="3" spans="1:8" x14ac:dyDescent="0.25">
      <c r="A3" s="15" t="s">
        <v>122</v>
      </c>
      <c r="B3" s="37">
        <v>6.6</v>
      </c>
      <c r="C3" s="20">
        <v>6.1</v>
      </c>
      <c r="D3" s="20">
        <v>4.9000000000000004</v>
      </c>
      <c r="E3" s="20">
        <v>7.2</v>
      </c>
      <c r="F3" s="20">
        <v>7.1</v>
      </c>
      <c r="G3" s="20">
        <v>2.5</v>
      </c>
      <c r="H3" s="16">
        <v>6.2476554519796279</v>
      </c>
    </row>
    <row r="4" spans="1:8" x14ac:dyDescent="0.25">
      <c r="A4" s="15" t="s">
        <v>123</v>
      </c>
      <c r="B4" s="37">
        <v>-0.4</v>
      </c>
      <c r="C4" s="20">
        <v>0.4</v>
      </c>
      <c r="D4" s="20">
        <v>0.5</v>
      </c>
      <c r="E4" s="20">
        <v>0</v>
      </c>
      <c r="F4" s="20">
        <v>0.5</v>
      </c>
      <c r="G4" s="20">
        <v>1</v>
      </c>
      <c r="H4" s="16">
        <v>3.3422818825235012E-2</v>
      </c>
    </row>
    <row r="5" spans="1:8" x14ac:dyDescent="0.25">
      <c r="A5" s="15" t="s">
        <v>124</v>
      </c>
      <c r="B5" s="37">
        <v>3.3</v>
      </c>
      <c r="C5" s="20">
        <v>2.5</v>
      </c>
      <c r="D5" s="20">
        <v>3.2</v>
      </c>
      <c r="E5" s="20">
        <v>3.7</v>
      </c>
      <c r="F5" s="20">
        <v>2.2999999999999998</v>
      </c>
      <c r="G5" s="20">
        <v>1.8</v>
      </c>
      <c r="H5" s="16">
        <v>2.9193928508560951</v>
      </c>
    </row>
    <row r="6" spans="1:8" x14ac:dyDescent="0.25">
      <c r="A6" s="15" t="s">
        <v>125</v>
      </c>
      <c r="B6" s="37">
        <v>8.6999999999999993</v>
      </c>
      <c r="C6" s="20">
        <v>7.8</v>
      </c>
      <c r="D6" s="20">
        <v>10.1</v>
      </c>
      <c r="E6" s="20">
        <v>13</v>
      </c>
      <c r="F6" s="20">
        <v>7.7</v>
      </c>
      <c r="G6" s="20">
        <v>7.4</v>
      </c>
      <c r="H6" s="16">
        <v>8.5932925196158916</v>
      </c>
    </row>
    <row r="7" spans="1:8" x14ac:dyDescent="0.25">
      <c r="A7" s="15" t="s">
        <v>126</v>
      </c>
      <c r="B7" s="37">
        <v>-6.3</v>
      </c>
      <c r="C7" s="20">
        <v>-5.8</v>
      </c>
      <c r="D7" s="20">
        <v>1.3</v>
      </c>
      <c r="E7" s="20">
        <v>-4.9000000000000004</v>
      </c>
      <c r="F7" s="20">
        <v>-4.0999999999999996</v>
      </c>
      <c r="G7" s="20">
        <v>0.3</v>
      </c>
      <c r="H7" s="16">
        <v>-5.3564241756458131</v>
      </c>
    </row>
    <row r="8" spans="1:8" x14ac:dyDescent="0.25">
      <c r="A8" s="15" t="s">
        <v>127</v>
      </c>
      <c r="B8" s="37">
        <v>2.8</v>
      </c>
      <c r="C8" s="20">
        <v>2.2000000000000002</v>
      </c>
      <c r="D8" s="20">
        <v>2.8</v>
      </c>
      <c r="E8" s="20">
        <v>2.2000000000000002</v>
      </c>
      <c r="F8" s="20">
        <v>2.5</v>
      </c>
      <c r="G8" s="20">
        <v>2.5</v>
      </c>
      <c r="H8" s="16">
        <v>2.5128207741731412</v>
      </c>
    </row>
    <row r="9" spans="1:8" x14ac:dyDescent="0.25">
      <c r="A9" s="15" t="s">
        <v>128</v>
      </c>
      <c r="B9" s="37">
        <v>0</v>
      </c>
      <c r="C9" s="20">
        <v>1.1000000000000001</v>
      </c>
      <c r="D9" s="20">
        <v>1.8</v>
      </c>
      <c r="E9" s="20">
        <v>0.3</v>
      </c>
      <c r="F9" s="20">
        <v>-0.1</v>
      </c>
      <c r="G9" s="20">
        <v>1.6</v>
      </c>
      <c r="H9" s="16">
        <v>0.51281721857463491</v>
      </c>
    </row>
    <row r="10" spans="1:8" x14ac:dyDescent="0.25">
      <c r="A10" s="15" t="s">
        <v>129</v>
      </c>
      <c r="B10" s="37">
        <v>5.0999999999999996</v>
      </c>
      <c r="C10" s="20">
        <v>2.5</v>
      </c>
      <c r="D10" s="20">
        <v>1.1000000000000001</v>
      </c>
      <c r="E10" s="20">
        <v>1.3</v>
      </c>
      <c r="F10" s="20">
        <v>3</v>
      </c>
      <c r="G10" s="20">
        <v>2.6</v>
      </c>
      <c r="H10" s="16">
        <v>3.5508100877681192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2025-12-21T18:39:20Z</dcterms:modified>
  <dc:language>es-AR</dc:language>
</cp:coreProperties>
</file>